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affingaditi-my.sharepoint.com/personal/abood_imtiaz_aditiconsulting_com/Documents/Downloads/"/>
    </mc:Choice>
  </mc:AlternateContent>
  <xr:revisionPtr revIDLastSave="2282" documentId="11_89CF349C23F7D7D7B11AD0EE998D355766BCB482" xr6:coauthVersionLast="47" xr6:coauthVersionMax="47" xr10:uidLastSave="{B4E50A58-0E34-42ED-A997-2A2588336843}"/>
  <bookViews>
    <workbookView xWindow="-110" yWindow="-110" windowWidth="19420" windowHeight="11500" activeTab="4" xr2:uid="{00000000-000D-0000-FFFF-FFFF00000000}"/>
  </bookViews>
  <sheets>
    <sheet name="Active" sheetId="1" r:id="rId1"/>
    <sheet name="Exit" sheetId="4" r:id="rId2"/>
    <sheet name="Positions" sheetId="5" r:id="rId3"/>
    <sheet name="Attrition" sheetId="6" r:id="rId4"/>
    <sheet name="Exit Interview" sheetId="7" r:id="rId5"/>
  </sheets>
  <definedNames>
    <definedName name="_xlnm._FilterDatabase" localSheetId="0" hidden="1">Active!$A$1:$M$705</definedName>
    <definedName name="_xlnm._FilterDatabase" localSheetId="1" hidden="1">Exit!$A$1:$S$344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3" i="5"/>
  <c r="G4" i="5"/>
  <c r="G5" i="5"/>
  <c r="G2" i="5"/>
  <c r="J5" i="6"/>
  <c r="C10" i="5"/>
  <c r="F10" i="5"/>
  <c r="E10" i="5"/>
  <c r="D11" i="6"/>
  <c r="C11" i="6"/>
  <c r="B11" i="6"/>
  <c r="O8" i="6"/>
  <c r="J10" i="6"/>
  <c r="O6" i="6" s="1"/>
  <c r="J9" i="6"/>
  <c r="O5" i="6" s="1"/>
  <c r="J8" i="6"/>
  <c r="O4" i="6" s="1"/>
  <c r="J7" i="6"/>
  <c r="O3" i="6" s="1"/>
  <c r="O7" i="6"/>
  <c r="J4" i="6"/>
  <c r="J3" i="6"/>
  <c r="J2" i="6"/>
  <c r="O2" i="6" s="1"/>
  <c r="I11" i="6"/>
  <c r="N9" i="6"/>
  <c r="J11" i="6" l="1"/>
  <c r="C7" i="6"/>
  <c r="D7" i="6"/>
  <c r="E7" i="6"/>
  <c r="E11" i="6" s="1"/>
  <c r="B7" i="6"/>
  <c r="F8" i="6"/>
  <c r="F9" i="6"/>
  <c r="F10" i="6"/>
  <c r="F3" i="6"/>
  <c r="F4" i="6"/>
  <c r="F5" i="6"/>
  <c r="F6" i="6"/>
  <c r="F2" i="6"/>
  <c r="R8" i="6"/>
  <c r="S8" i="6"/>
  <c r="T8" i="6"/>
  <c r="Q8" i="6"/>
  <c r="R7" i="6"/>
  <c r="S7" i="6"/>
  <c r="T7" i="6"/>
  <c r="U7" i="6" s="1"/>
  <c r="Q7" i="6"/>
  <c r="R6" i="6"/>
  <c r="S6" i="6"/>
  <c r="T6" i="6"/>
  <c r="Q6" i="6"/>
  <c r="R5" i="6"/>
  <c r="S5" i="6"/>
  <c r="U5" i="6" s="1"/>
  <c r="T5" i="6"/>
  <c r="Q5" i="6"/>
  <c r="R4" i="6"/>
  <c r="S4" i="6"/>
  <c r="T4" i="6"/>
  <c r="U4" i="6" s="1"/>
  <c r="Q4" i="6"/>
  <c r="R3" i="6"/>
  <c r="S3" i="6"/>
  <c r="T3" i="6"/>
  <c r="Q3" i="6"/>
  <c r="R2" i="6"/>
  <c r="S2" i="6"/>
  <c r="T2" i="6"/>
  <c r="Q2" i="6"/>
  <c r="P3" i="6"/>
  <c r="P4" i="6"/>
  <c r="P5" i="6"/>
  <c r="P6" i="6"/>
  <c r="P7" i="6"/>
  <c r="P8" i="6"/>
  <c r="O9" i="6"/>
  <c r="P9" i="6" s="1"/>
  <c r="N2" i="6"/>
  <c r="P2" i="6" s="1"/>
  <c r="K10" i="6"/>
  <c r="K9" i="6"/>
  <c r="K8" i="6"/>
  <c r="K6" i="6"/>
  <c r="K5" i="6"/>
  <c r="K4" i="6"/>
  <c r="K3" i="6"/>
  <c r="K2" i="6"/>
  <c r="F7" i="6" l="1"/>
  <c r="F11" i="6" s="1"/>
  <c r="U8" i="6"/>
  <c r="W8" i="6" s="1"/>
  <c r="V7" i="6"/>
  <c r="H4" i="6"/>
  <c r="H3" i="6"/>
  <c r="U6" i="6"/>
  <c r="V6" i="6" s="1"/>
  <c r="U3" i="6"/>
  <c r="G9" i="6"/>
  <c r="H5" i="6"/>
  <c r="H10" i="6"/>
  <c r="U2" i="6"/>
  <c r="W2" i="6" s="1"/>
  <c r="V8" i="6"/>
  <c r="W7" i="6"/>
  <c r="G8" i="6"/>
  <c r="V4" i="6"/>
  <c r="W4" i="6"/>
  <c r="W5" i="6"/>
  <c r="V5" i="6"/>
  <c r="H2" i="6"/>
  <c r="H6" i="6"/>
  <c r="G4" i="6"/>
  <c r="G10" i="6"/>
  <c r="H9" i="6"/>
  <c r="H8" i="6"/>
  <c r="K11" i="6"/>
  <c r="K7" i="6"/>
  <c r="H7" i="6" s="1"/>
  <c r="G6" i="6"/>
  <c r="G3" i="6"/>
  <c r="G2" i="6"/>
  <c r="G5" i="6"/>
  <c r="U9" i="6" l="1"/>
  <c r="W9" i="6" s="1"/>
  <c r="V9" i="6"/>
  <c r="W6" i="6"/>
  <c r="V2" i="6"/>
  <c r="G7" i="6"/>
  <c r="H11" i="6"/>
  <c r="G11" i="6"/>
  <c r="V3" i="6" l="1"/>
  <c r="W3" i="6"/>
  <c r="B7" i="5"/>
  <c r="J6" i="5"/>
  <c r="J10" i="5" s="1"/>
  <c r="I6" i="5"/>
  <c r="I10" i="5" s="1"/>
  <c r="H6" i="5"/>
  <c r="H10" i="5" s="1"/>
  <c r="D6" i="5"/>
  <c r="D10" i="5" s="1"/>
  <c r="G10" i="5"/>
  <c r="B5" i="5"/>
  <c r="B4" i="5"/>
  <c r="B3" i="5"/>
  <c r="B2" i="5"/>
  <c r="B10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tc={E8DD7729-6890-4E56-8592-0A793826C540}</author>
    <author>tc={388B8A4A-B9F8-4561-B11E-69AF6C118F9E}</author>
    <author>tc={D02263AD-8D23-496E-BA2B-BDEA0B013820}</author>
  </authors>
  <commentList>
    <comment ref="J46" authorId="0" shapeId="0" xr:uid="{E8DD7729-6890-4E56-8592-0A793826C54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They are serving Notice</t>
      </text>
    </comment>
    <comment ref="J80" authorId="1" shapeId="0" xr:uid="{388B8A4A-B9F8-4561-B11E-69AF6C118F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They are serving Notice</t>
      </text>
    </comment>
    <comment ref="J155" authorId="2" shapeId="0" xr:uid="{D02263AD-8D23-496E-BA2B-BDEA0B0138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They are serving Notice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tc={E91C87CE-F415-46B5-9794-D38D956465B5}</author>
    <author>tc={42B50E01-490D-4C6D-9AC5-B21A2DDC126F}</author>
  </authors>
  <commentList>
    <comment ref="B6" authorId="0" shapeId="0" xr:uid="{E91C87CE-F415-46B5-9794-D38D956465B5}">
      <text>
        <t>[Threaded comment]
Your version of Excel allows you to read this threaded comment; however, any edits to it will get removed if the file is opened in a newer version of Excel. Learn more: https://go.microsoft.com/fwlink/?linkid=870924
Comment:
    AI Labs + Interns</t>
      </text>
    </comment>
    <comment ref="C6" authorId="1" shapeId="0" xr:uid="{42B50E01-490D-4C6D-9AC5-B21A2DDC126F}">
      <text>
        <t>[Threaded comment]
Your version of Excel allows you to read this threaded comment; however, any edits to it will get removed if the file is opened in a newer version of Excel. Learn more: https://go.microsoft.com/fwlink/?linkid=870924
Comment:
    AI Labs + Interns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tc={70C5ED1A-EFA5-44F8-8B74-9D6BE35E1AB5}</author>
    <author>tc={CFB0F180-2F4D-454D-B410-34E9CFE4B923}</author>
    <author>tc={C28F01FA-4FDB-4F60-8613-8E85527C1FCB}</author>
    <author>tc={8077BEF0-944D-4A85-9180-865802D10620}</author>
    <author>tc={CD991F5E-BFA6-474A-AA90-00FEF135A775}</author>
    <author>tc={8B9AF548-CF67-4417-BAAA-D80C89370995}</author>
    <author>tc={F78BDF3D-86D0-4D64-A2A3-B9724FC47478}</author>
    <author>tc={030DBA93-524D-459C-B750-D64AA3B8059A}</author>
    <author>tc={034C12AF-9098-44A8-A0EC-FC7D7E0A2153}</author>
  </authors>
  <commentList>
    <comment ref="O3" authorId="0" shapeId="0" xr:uid="{70C5ED1A-EFA5-44F8-8B74-9D6BE35E1AB5}">
      <text>
        <t>[Threaded comment]
Your version of Excel allows you to read this threaded comment; however, any edits to it will get removed if the file is opened in a newer version of Excel. Learn more: https://go.microsoft.com/fwlink/?linkid=870924
Comment:
    +AI LABS AND INTERNS</t>
      </text>
    </comment>
    <comment ref="B5" authorId="1" shapeId="0" xr:uid="{CFB0F180-2F4D-454D-B410-34E9CFE4B923}">
      <text>
        <t>[Threaded comment]
Your version of Excel allows you to read this threaded comment; however, any edits to it will get removed if the file is opened in a newer version of Excel. Learn more: https://go.microsoft.com/fwlink/?linkid=870924
Comment:
    1 Intern</t>
      </text>
    </comment>
    <comment ref="C5" authorId="2" shapeId="0" xr:uid="{C28F01FA-4FDB-4F60-8613-8E85527C1FCB}">
      <text>
        <t>[Threaded comment]
Your version of Excel allows you to read this threaded comment; however, any edits to it will get removed if the file is opened in a newer version of Excel. Learn more: https://go.microsoft.com/fwlink/?linkid=870924
Comment:
    1 Intern</t>
      </text>
    </comment>
    <comment ref="B6" authorId="3" shapeId="0" xr:uid="{8077BEF0-944D-4A85-9180-865802D10620}">
      <text>
        <t>[Threaded comment]
Your version of Excel allows you to read this threaded comment; however, any edits to it will get removed if the file is opened in a newer version of Excel. Learn more: https://go.microsoft.com/fwlink/?linkid=870924
Comment:
    52 Contract Expired</t>
      </text>
    </comment>
    <comment ref="C6" authorId="4" shapeId="0" xr:uid="{CD991F5E-BFA6-474A-AA90-00FEF135A775}">
      <text>
        <t>[Threaded comment]
Your version of Excel allows you to read this threaded comment; however, any edits to it will get removed if the file is opened in a newer version of Excel. Learn more: https://go.microsoft.com/fwlink/?linkid=870924
Comment:
    19 Contract Expired</t>
      </text>
    </comment>
    <comment ref="D6" authorId="5" shapeId="0" xr:uid="{8B9AF548-CF67-4417-BAAA-D80C89370995}">
      <text>
        <t>[Threaded comment]
Your version of Excel allows you to read this threaded comment; however, any edits to it will get removed if the file is opened in a newer version of Excel. Learn more: https://go.microsoft.com/fwlink/?linkid=870924
Comment:
    36 Contract Expired</t>
      </text>
    </comment>
    <comment ref="B7" authorId="6" shapeId="0" xr:uid="{F78BDF3D-86D0-4D64-A2A3-B9724FC47478}">
      <text>
        <t>[Threaded comment]
Your version of Excel allows you to read this threaded comment; however, any edits to it will get removed if the file is opened in a newer version of Excel. Learn more: https://go.microsoft.com/fwlink/?linkid=870924
Comment:
    2 Contract ends</t>
      </text>
    </comment>
    <comment ref="C7" authorId="7" shapeId="0" xr:uid="{030DBA93-524D-459C-B750-D64AA3B8059A}">
      <text>
        <t>[Threaded comment]
Your version of Excel allows you to read this threaded comment; however, any edits to it will get removed if the file is opened in a newer version of Excel. Learn more: https://go.microsoft.com/fwlink/?linkid=870924
Comment:
    1 Contract expired</t>
      </text>
    </comment>
    <comment ref="D7" authorId="8" shapeId="0" xr:uid="{034C12AF-9098-44A8-A0EC-FC7D7E0A21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Contract Expired </t>
      </text>
    </comment>
  </commentList>
</comments>
</file>

<file path=xl/sharedStrings.xml><?xml version="1.0" encoding="utf-8"?>
<sst xmlns="http://schemas.openxmlformats.org/spreadsheetml/2006/main" count="11637" uniqueCount="3738">
  <si>
    <t>Employee Number</t>
  </si>
  <si>
    <t>Full Name</t>
  </si>
  <si>
    <t>Work Email</t>
  </si>
  <si>
    <t>Gender</t>
  </si>
  <si>
    <t>Location</t>
  </si>
  <si>
    <t>Business Unit</t>
  </si>
  <si>
    <t>Department</t>
  </si>
  <si>
    <t>Sub Department</t>
  </si>
  <si>
    <t>Job Title</t>
  </si>
  <si>
    <t>Reporting To</t>
  </si>
  <si>
    <t>Date Joined</t>
  </si>
  <si>
    <t>Exit Date</t>
  </si>
  <si>
    <t>Termination Type</t>
  </si>
  <si>
    <t>Termination Reason</t>
  </si>
  <si>
    <t>ASIPL0036</t>
  </si>
  <si>
    <t>Dilip Kumar Kuppan</t>
  </si>
  <si>
    <t>dilipkk@aditiconsulting.com</t>
  </si>
  <si>
    <t>Male</t>
  </si>
  <si>
    <t>No</t>
  </si>
  <si>
    <t>Bengaluru</t>
  </si>
  <si>
    <t>Business Operations</t>
  </si>
  <si>
    <t>Facilities</t>
  </si>
  <si>
    <t>Senior Director - Facilities</t>
  </si>
  <si>
    <t>Jayprakash U</t>
  </si>
  <si>
    <t>ASIPL4359</t>
  </si>
  <si>
    <t>ASIPL0201</t>
  </si>
  <si>
    <t>Christina Leema R</t>
  </si>
  <si>
    <t>christinalr@aditiconsulting.com</t>
  </si>
  <si>
    <t>Female</t>
  </si>
  <si>
    <t>Digital Engineering Services</t>
  </si>
  <si>
    <t>Team Lead</t>
  </si>
  <si>
    <t>Karthikeyan Manoharan</t>
  </si>
  <si>
    <t>ASIPL4350</t>
  </si>
  <si>
    <t>Yes</t>
  </si>
  <si>
    <t>ASIPL0210</t>
  </si>
  <si>
    <t>Sonica Gurung</t>
  </si>
  <si>
    <t>sonicag@aditiconsulting.com</t>
  </si>
  <si>
    <t>India ToD</t>
  </si>
  <si>
    <t>Senior Director</t>
  </si>
  <si>
    <t>Microsoft</t>
  </si>
  <si>
    <t>ASIPL0244</t>
  </si>
  <si>
    <t>Hareesh Kumar M C</t>
  </si>
  <si>
    <t>hareeshk@aditiconsulting.com</t>
  </si>
  <si>
    <t>IT &amp; Infrastructure</t>
  </si>
  <si>
    <t>Senior Manager - IT</t>
  </si>
  <si>
    <t>Mohamed Imran</t>
  </si>
  <si>
    <t>ASIPL0476</t>
  </si>
  <si>
    <t>ASIPL0295</t>
  </si>
  <si>
    <t>Prasul Prakashan</t>
  </si>
  <si>
    <t>prasulp@aditiconsulting.com</t>
  </si>
  <si>
    <t>US ToD - FTE</t>
  </si>
  <si>
    <t>Associate Vice President - Client Services &amp; Delivery</t>
  </si>
  <si>
    <t>ASIPL0309</t>
  </si>
  <si>
    <t>B Pothan Prasad</t>
  </si>
  <si>
    <t>bprasad@aditiconsulting.com</t>
  </si>
  <si>
    <t>Senior Director - Client Services &amp; Delivery</t>
  </si>
  <si>
    <t>T-Mobile</t>
  </si>
  <si>
    <t>ASIPL0362</t>
  </si>
  <si>
    <t>Deepak Kumar K</t>
  </si>
  <si>
    <t>deepakk@aditiconsulting.com</t>
  </si>
  <si>
    <t>Recruitment Manager</t>
  </si>
  <si>
    <t>Jawahar Nambi</t>
  </si>
  <si>
    <t>ASIPL0458</t>
  </si>
  <si>
    <t>Caterpillar</t>
  </si>
  <si>
    <t>ASIPL0414</t>
  </si>
  <si>
    <t>Satyajit Behera</t>
  </si>
  <si>
    <t>satyajitb@aditiconsulting.com</t>
  </si>
  <si>
    <t>Senior Recruitment Manager</t>
  </si>
  <si>
    <t>ASIPL0430</t>
  </si>
  <si>
    <t>Varaprasad Srirangam</t>
  </si>
  <si>
    <t>varas@aditiconsulting.com</t>
  </si>
  <si>
    <t>Immigrations</t>
  </si>
  <si>
    <t>Senior Manager - Immigrations</t>
  </si>
  <si>
    <t>jawaharn@aditiconsulting.com</t>
  </si>
  <si>
    <t>Chennai</t>
  </si>
  <si>
    <t>Associate Director - Client Services &amp; Delivery</t>
  </si>
  <si>
    <t>Salesforce</t>
  </si>
  <si>
    <t>ASIPL0470</t>
  </si>
  <si>
    <t>Moumita Konar</t>
  </si>
  <si>
    <t>moumitak@aditiconsulting.com</t>
  </si>
  <si>
    <t>Team Lead - Recruitment</t>
  </si>
  <si>
    <t>Satyajit Kumar Jha</t>
  </si>
  <si>
    <t>ASIPL2145</t>
  </si>
  <si>
    <t>mohammedim@aditiconsulting.com</t>
  </si>
  <si>
    <t>Recruiting Operations</t>
  </si>
  <si>
    <t>Senior Director – Recruiting Operations</t>
  </si>
  <si>
    <t>Ramna Vadavalli</t>
  </si>
  <si>
    <t>ASIPL3707</t>
  </si>
  <si>
    <t>ASIPL0480</t>
  </si>
  <si>
    <t>Venkata Sai Vishnumolakala</t>
  </si>
  <si>
    <t>venkatasv@aditiconsulting.com</t>
  </si>
  <si>
    <t>Assistant Manager - Recruitment</t>
  </si>
  <si>
    <t>ASIPL0587</t>
  </si>
  <si>
    <t>Kiran Racha Kumar R</t>
  </si>
  <si>
    <t>kirankr@aditiconsulting.com</t>
  </si>
  <si>
    <t>ASIPL0598</t>
  </si>
  <si>
    <t>Sabirulla Khan</t>
  </si>
  <si>
    <t>sabirullak@aditiconsulting.com</t>
  </si>
  <si>
    <t>ASIPL0610</t>
  </si>
  <si>
    <t>Ramesh</t>
  </si>
  <si>
    <t>ramesh@aditiconsulting.com</t>
  </si>
  <si>
    <t>Client Services</t>
  </si>
  <si>
    <t>Group Manager - Client Services</t>
  </si>
  <si>
    <t>ASIPL0641</t>
  </si>
  <si>
    <t>Shazim Saheb</t>
  </si>
  <si>
    <t>shazims@aditiconsulting.com</t>
  </si>
  <si>
    <t>Manager - Client Services</t>
  </si>
  <si>
    <t>Ashish Sivanandan</t>
  </si>
  <si>
    <t>ASIPL4003</t>
  </si>
  <si>
    <t>ASIPL0684</t>
  </si>
  <si>
    <t>Dipankar Karmakar</t>
  </si>
  <si>
    <t>dipankark@aditiconsulting.com</t>
  </si>
  <si>
    <t>ASIPL0760</t>
  </si>
  <si>
    <t>Kajal Kumari</t>
  </si>
  <si>
    <t>kajalk@aditiconsulting.com</t>
  </si>
  <si>
    <t>Senior Manager - Client Services</t>
  </si>
  <si>
    <t>ASIPL0774</t>
  </si>
  <si>
    <t>Mohan Kumar G</t>
  </si>
  <si>
    <t>mohankg@aditiconsulting.com</t>
  </si>
  <si>
    <t>Lead Recruiter</t>
  </si>
  <si>
    <t>Manoj Pathania</t>
  </si>
  <si>
    <t>ASIPL0929</t>
  </si>
  <si>
    <t>ASIPL0795</t>
  </si>
  <si>
    <t>Sayyed Mohammed Ishraq Iqbal</t>
  </si>
  <si>
    <t>sayyedm@aditiconsulting.com</t>
  </si>
  <si>
    <t>Shaikh Habibmiya Ashfak</t>
  </si>
  <si>
    <t>ASIPL3882</t>
  </si>
  <si>
    <t>ASIPL0807</t>
  </si>
  <si>
    <t>Nabila Saghir</t>
  </si>
  <si>
    <t>nabilas@aditiconsulting.com</t>
  </si>
  <si>
    <t>Permanent Remote</t>
  </si>
  <si>
    <t>ASIPL0808</t>
  </si>
  <si>
    <t>Pritha P</t>
  </si>
  <si>
    <t>prithap@aditiconsulting.com</t>
  </si>
  <si>
    <t>ASIPL0841</t>
  </si>
  <si>
    <t>Antara Mehta</t>
  </si>
  <si>
    <t>antaram@aditiconsulting.com</t>
  </si>
  <si>
    <t>Account Manager</t>
  </si>
  <si>
    <t>Paypal</t>
  </si>
  <si>
    <t>ASIPL0894</t>
  </si>
  <si>
    <t>Priyam Lahon</t>
  </si>
  <si>
    <t>priyaml@aditiconsulting.com</t>
  </si>
  <si>
    <t>ASIPL0901</t>
  </si>
  <si>
    <t>Rahul Kumar Jha</t>
  </si>
  <si>
    <t>rahulkj@aditiconsulting.com</t>
  </si>
  <si>
    <t>manojp@aditiconsulting.com</t>
  </si>
  <si>
    <t>ASIPL1009</t>
  </si>
  <si>
    <t>Aragonda Shabitha</t>
  </si>
  <si>
    <t>shabithar@aditiconsulting.com</t>
  </si>
  <si>
    <t>Operations &amp; Onboarding</t>
  </si>
  <si>
    <t>Lead - Onboarding &amp; Operations</t>
  </si>
  <si>
    <t>Jogi Andrews</t>
  </si>
  <si>
    <t>ASIPL3437</t>
  </si>
  <si>
    <t>ASIPL1036</t>
  </si>
  <si>
    <t>Razia Khatoon</t>
  </si>
  <si>
    <t>raziak@aditiconsulting.com</t>
  </si>
  <si>
    <t>Vadodara</t>
  </si>
  <si>
    <t>People Department</t>
  </si>
  <si>
    <t>Associate Director - People &amp; Culture</t>
  </si>
  <si>
    <t>ASIPL1038</t>
  </si>
  <si>
    <t>V Surendar</t>
  </si>
  <si>
    <t>surendarv@aditiconsulting.com</t>
  </si>
  <si>
    <t>ASIPL1062</t>
  </si>
  <si>
    <t>Maria Delphin</t>
  </si>
  <si>
    <t>mariad@aditiconsulting.com</t>
  </si>
  <si>
    <t>Talent Experience</t>
  </si>
  <si>
    <t>Manager - Talent Experience</t>
  </si>
  <si>
    <t>ASIPL1075</t>
  </si>
  <si>
    <t>Naveen Kumar Gangadhar</t>
  </si>
  <si>
    <t>naveenkg@aditiconsulting.com</t>
  </si>
  <si>
    <t>Assistant Manager - Immigrations</t>
  </si>
  <si>
    <t>ASIPL1105</t>
  </si>
  <si>
    <t>Palak Ravindrakumar Shelankar</t>
  </si>
  <si>
    <t>palaks@aditiconsulting.com</t>
  </si>
  <si>
    <t>Dushyant Sikligar</t>
  </si>
  <si>
    <t>Specialist - Talent Experience</t>
  </si>
  <si>
    <t>ASIPL1122</t>
  </si>
  <si>
    <t>Neel Vijaykumar Upadhyaya</t>
  </si>
  <si>
    <t>neelvu@aditiconsulting.com</t>
  </si>
  <si>
    <t>Center Head</t>
  </si>
  <si>
    <t>ASIPL1225</t>
  </si>
  <si>
    <t>Manas Maharana</t>
  </si>
  <si>
    <t>manasm@aditiconsulting.com</t>
  </si>
  <si>
    <t>Associate Vice President - Engineering</t>
  </si>
  <si>
    <t>ASIPL1256</t>
  </si>
  <si>
    <t>Puneeth Shetty</t>
  </si>
  <si>
    <t>puneeths@aditiconsulting.com</t>
  </si>
  <si>
    <t>Senior Software Engineer</t>
  </si>
  <si>
    <t>T Shiva Kumar</t>
  </si>
  <si>
    <t>ASIPL1330</t>
  </si>
  <si>
    <t>Java Developer</t>
  </si>
  <si>
    <t>ASIPL1270</t>
  </si>
  <si>
    <t>Harisvar Kumar AJC</t>
  </si>
  <si>
    <t>harisvark@aditiconsulting.com</t>
  </si>
  <si>
    <t>Technical Lead</t>
  </si>
  <si>
    <t>ASIPL1274</t>
  </si>
  <si>
    <t>Mahesh R</t>
  </si>
  <si>
    <t>maheshr@aditiconsulting.com</t>
  </si>
  <si>
    <t>Team Lead - Facilities</t>
  </si>
  <si>
    <t>ASIPL1294</t>
  </si>
  <si>
    <t>Krishan Kumar</t>
  </si>
  <si>
    <t>krishank@aditiconsulting.com</t>
  </si>
  <si>
    <t>Senior Solution Architect</t>
  </si>
  <si>
    <t>ASIPL1306</t>
  </si>
  <si>
    <t>Sathyanarayan. L</t>
  </si>
  <si>
    <t>sathyanarayanl@aditiconsulting.com</t>
  </si>
  <si>
    <t>Desktop Support Executive</t>
  </si>
  <si>
    <t>shivaku@aditiconsulting.com</t>
  </si>
  <si>
    <t>Director - Engineering</t>
  </si>
  <si>
    <t>ASIPL1402</t>
  </si>
  <si>
    <t>Indira Kalapanda Ponnappa</t>
  </si>
  <si>
    <t>indirakp@aditiconsulting.com</t>
  </si>
  <si>
    <t>Project Manager</t>
  </si>
  <si>
    <t>ASIPL1411</t>
  </si>
  <si>
    <t>Piyali Chakraborty</t>
  </si>
  <si>
    <t>piyalic@aditiconsulting.com</t>
  </si>
  <si>
    <t>Lead - Talent Experience</t>
  </si>
  <si>
    <t>ASIPL1617</t>
  </si>
  <si>
    <t>Sadiq Vali</t>
  </si>
  <si>
    <t>sadiqv@aditiconsulting.com</t>
  </si>
  <si>
    <t>Lead Data Analyst</t>
  </si>
  <si>
    <t>Data Analyst</t>
  </si>
  <si>
    <t>ASIPL1626</t>
  </si>
  <si>
    <t>Naresh Kumar J</t>
  </si>
  <si>
    <t>nareshkj@aditiconsulting.com</t>
  </si>
  <si>
    <t>Hyderabad</t>
  </si>
  <si>
    <t>Lead Power BI Developer</t>
  </si>
  <si>
    <t>ASIPL1746</t>
  </si>
  <si>
    <t>Sunita Banerjee</t>
  </si>
  <si>
    <t>sunitab@aditiconsulting.com</t>
  </si>
  <si>
    <t>Senior Technical Recruiter</t>
  </si>
  <si>
    <t>ASIPL1823</t>
  </si>
  <si>
    <t>Shakshi Maheshwari</t>
  </si>
  <si>
    <t>shakshim@aditiconsulting.com</t>
  </si>
  <si>
    <t>ASIPL3309</t>
  </si>
  <si>
    <t>ASIPL1847</t>
  </si>
  <si>
    <t>Naresh Kumawat</t>
  </si>
  <si>
    <t>naresh@aditiconsulting.com</t>
  </si>
  <si>
    <t>ASIPL1925</t>
  </si>
  <si>
    <t>Shivam Bhardwaj</t>
  </si>
  <si>
    <t>shivamb@aditiconsulting.com</t>
  </si>
  <si>
    <t>India ToD - Contractors</t>
  </si>
  <si>
    <t>India Contractors</t>
  </si>
  <si>
    <t>Senior Android Developer</t>
  </si>
  <si>
    <t>Likhithashri S</t>
  </si>
  <si>
    <t>ASIPL4313</t>
  </si>
  <si>
    <t>Android Developer</t>
  </si>
  <si>
    <t>ASIPL1932</t>
  </si>
  <si>
    <t>Jinse Sathyadas</t>
  </si>
  <si>
    <t>jinses@aditiconsulting.com</t>
  </si>
  <si>
    <t>Gaurav Pancholi</t>
  </si>
  <si>
    <t>ASIPL3803</t>
  </si>
  <si>
    <t>ASIPL1934</t>
  </si>
  <si>
    <t>Harshit Sharma</t>
  </si>
  <si>
    <t>harshits@aditiconsulting.com</t>
  </si>
  <si>
    <t>ASIPL1990</t>
  </si>
  <si>
    <t>Matin Farook Modi</t>
  </si>
  <si>
    <t>matinm@aditiconsulting.com</t>
  </si>
  <si>
    <t>Abhishek Rajoriya</t>
  </si>
  <si>
    <t>ASIPL3248</t>
  </si>
  <si>
    <t>Hardik Amin</t>
  </si>
  <si>
    <t>ASIPL2034</t>
  </si>
  <si>
    <t>Veerendrakumara B S</t>
  </si>
  <si>
    <t>veerendrak@aditiconsulting.com</t>
  </si>
  <si>
    <t>Senior Executive - Facility</t>
  </si>
  <si>
    <t>ASIPL2084</t>
  </si>
  <si>
    <t>Shinil V</t>
  </si>
  <si>
    <t>shinilv@aditiconsulting.com</t>
  </si>
  <si>
    <t>ASIPL2091</t>
  </si>
  <si>
    <t>Aimen Fatima</t>
  </si>
  <si>
    <t>aimenf@aditiconsulting.com</t>
  </si>
  <si>
    <t>Senior Specialist Business Partner</t>
  </si>
  <si>
    <t>Madireddi Parvati</t>
  </si>
  <si>
    <t>ASIPL3455</t>
  </si>
  <si>
    <t>Sunil R</t>
  </si>
  <si>
    <t>ASIPL2124</t>
  </si>
  <si>
    <t>Mahendrababu NJ</t>
  </si>
  <si>
    <t>mahendrababunj@aditiconsulting.com</t>
  </si>
  <si>
    <t>satyajitkj@aditiconsulting.com</t>
  </si>
  <si>
    <t>ASIPL2158</t>
  </si>
  <si>
    <t>Archana Mishra</t>
  </si>
  <si>
    <t>archanam@aditiconsulting.com</t>
  </si>
  <si>
    <t>Amazon</t>
  </si>
  <si>
    <t>ASIPL2192</t>
  </si>
  <si>
    <t>Sunilkumar Parsuram Giri</t>
  </si>
  <si>
    <t>sunilkumarg@aditiconsulting.com</t>
  </si>
  <si>
    <t>Praful Gyani</t>
  </si>
  <si>
    <t>ASIPL2198</t>
  </si>
  <si>
    <t>Vishak K.G</t>
  </si>
  <si>
    <t>vishakkg@aditiconsulting.com</t>
  </si>
  <si>
    <t>Employee Engagement</t>
  </si>
  <si>
    <t>Senior Specialist - Employee Engagement</t>
  </si>
  <si>
    <t>ASIPL2231</t>
  </si>
  <si>
    <t>Mohit Solanki</t>
  </si>
  <si>
    <t>mohitso@aditiconsulting.com</t>
  </si>
  <si>
    <t>ASIPL2234</t>
  </si>
  <si>
    <t>Virendrasinh Raj</t>
  </si>
  <si>
    <t>virendrasinhr@aditiconsulting.com</t>
  </si>
  <si>
    <t>ASIPL2239</t>
  </si>
  <si>
    <t>Sagar J</t>
  </si>
  <si>
    <t>sagarj@aditiconsulting.com</t>
  </si>
  <si>
    <t>System Administrator</t>
  </si>
  <si>
    <t>ASIPL2244</t>
  </si>
  <si>
    <t>Yanina Chowdhury</t>
  </si>
  <si>
    <t>yaninac@aditiconsulting.com</t>
  </si>
  <si>
    <t>ASIPL2251</t>
  </si>
  <si>
    <t>Nishanth</t>
  </si>
  <si>
    <t>nishanth@aditiconsulting.com</t>
  </si>
  <si>
    <t>ASIPL2287</t>
  </si>
  <si>
    <t>Gaurav Kumar Pandey</t>
  </si>
  <si>
    <t>gauravp@aditiconsulting.com</t>
  </si>
  <si>
    <t>ASIPL2314</t>
  </si>
  <si>
    <t>Akhil Kumar</t>
  </si>
  <si>
    <t>akhilk@aditiconsulting.com</t>
  </si>
  <si>
    <t>Senior Specialist - Onboarding &amp; Operations</t>
  </si>
  <si>
    <t>ASIPL2316</t>
  </si>
  <si>
    <t>Girisha</t>
  </si>
  <si>
    <t>girishap@aditiconsulting.com</t>
  </si>
  <si>
    <t>Coordinator - Inventory</t>
  </si>
  <si>
    <t>ASIPL2325</t>
  </si>
  <si>
    <t>Nooh Ahmed Shaikh</t>
  </si>
  <si>
    <t>ahmeds@aditiconsulting.com</t>
  </si>
  <si>
    <t>ASIPL2382</t>
  </si>
  <si>
    <t>Divya Jaiswal</t>
  </si>
  <si>
    <t>divyaj@aditiconsulting.com</t>
  </si>
  <si>
    <t>Junior Associate - US HRBP</t>
  </si>
  <si>
    <t>ASIPL2384</t>
  </si>
  <si>
    <t>John M. M Jacob</t>
  </si>
  <si>
    <t>johnj@aditiconsulting.com</t>
  </si>
  <si>
    <t>Tools &amp; Technology</t>
  </si>
  <si>
    <t>Senior Specialist - Tools &amp; Tech</t>
  </si>
  <si>
    <t>ASIPL2423</t>
  </si>
  <si>
    <t>Mohammed Baber Sayeed</t>
  </si>
  <si>
    <t>babers@aditiconsulting.com</t>
  </si>
  <si>
    <t>ASIPL2443</t>
  </si>
  <si>
    <t>hardika@aditiconsulting.com</t>
  </si>
  <si>
    <t>ASIPL2485</t>
  </si>
  <si>
    <t>Siddhartha Kumar Singh</t>
  </si>
  <si>
    <t>siddharthas@aditiconsulting.com</t>
  </si>
  <si>
    <t>Associate Technical Architect</t>
  </si>
  <si>
    <t>ASIPL2500</t>
  </si>
  <si>
    <t>Puja Bhowmik</t>
  </si>
  <si>
    <t>pbhowmik@aditiconsulting.com</t>
  </si>
  <si>
    <t>Finance/US Payroll Support</t>
  </si>
  <si>
    <t>Assistant Manager - Payroll Support</t>
  </si>
  <si>
    <t>ASIPL2558</t>
  </si>
  <si>
    <t>Aditi Vij</t>
  </si>
  <si>
    <t>aditiv@aditiconsulting.com</t>
  </si>
  <si>
    <t>ASIPL2568</t>
  </si>
  <si>
    <t>Shirina Begum T Nadaf</t>
  </si>
  <si>
    <t>shirinan@aditiconsulting.com</t>
  </si>
  <si>
    <t>ASIPL2590</t>
  </si>
  <si>
    <t>Rituraj Jain</t>
  </si>
  <si>
    <t>riturajj@aditiconsulting.com</t>
  </si>
  <si>
    <t>ASIPL2591</t>
  </si>
  <si>
    <t>Anshu Jha</t>
  </si>
  <si>
    <t>anshuj@aditiconsulting.com</t>
  </si>
  <si>
    <t>ASIPL2592</t>
  </si>
  <si>
    <t>Sourav Das</t>
  </si>
  <si>
    <t>souravd@aditiconsulting.com</t>
  </si>
  <si>
    <t>ASIPL2596</t>
  </si>
  <si>
    <t>Sunny Kumar</t>
  </si>
  <si>
    <t>sunnyk@aditiconsulting.com</t>
  </si>
  <si>
    <t>Team Lead- Corp-to-Corp</t>
  </si>
  <si>
    <t>ASIPL2602</t>
  </si>
  <si>
    <t>Aalap Patel</t>
  </si>
  <si>
    <t>aalapp@aditiconsulting.com</t>
  </si>
  <si>
    <t>ASIPL2697</t>
  </si>
  <si>
    <t>Ameer Hamza</t>
  </si>
  <si>
    <t>ameerh@aditiconsulting.com</t>
  </si>
  <si>
    <t>Technical Recruiter</t>
  </si>
  <si>
    <t>ASIPL2797</t>
  </si>
  <si>
    <t>Bharath Raj Thangavelu</t>
  </si>
  <si>
    <t>bharathr@aditiconsulting.com</t>
  </si>
  <si>
    <t>ASIPL2807</t>
  </si>
  <si>
    <t>Abhishek Singh Girji</t>
  </si>
  <si>
    <t>abhishekg@aditiconsulting.com</t>
  </si>
  <si>
    <t>Specialist – Immigrations</t>
  </si>
  <si>
    <t>ASIPL2828</t>
  </si>
  <si>
    <t>Anil Kumar</t>
  </si>
  <si>
    <t>anilk@aditiconsulting.com</t>
  </si>
  <si>
    <t>Project Coordinator</t>
  </si>
  <si>
    <t>ASIPL2834</t>
  </si>
  <si>
    <t>Saniya Khan</t>
  </si>
  <si>
    <t>saniyak@aditiconsulting.com</t>
  </si>
  <si>
    <t>ASIPL2887</t>
  </si>
  <si>
    <t>Ranjitha D S</t>
  </si>
  <si>
    <t>ranjithas@aditiconsulting.com</t>
  </si>
  <si>
    <t>Software Test Engineer</t>
  </si>
  <si>
    <t>Rajiv Vinayak Warade</t>
  </si>
  <si>
    <t>ASIPL4376</t>
  </si>
  <si>
    <t>ASIPL2908</t>
  </si>
  <si>
    <t>Navya Jaiprakash</t>
  </si>
  <si>
    <t>navyaj@aditiconsulting.com</t>
  </si>
  <si>
    <t>Senior Corporate Recruiter</t>
  </si>
  <si>
    <t>ODC</t>
  </si>
  <si>
    <t>ASIPL2921</t>
  </si>
  <si>
    <t>Mamita Monalisa</t>
  </si>
  <si>
    <t>mamitam@aditiconsulting.com</t>
  </si>
  <si>
    <t>Senior Specialist - People &amp; Culture</t>
  </si>
  <si>
    <t>ASIPL2922</t>
  </si>
  <si>
    <t>Dilip Singh</t>
  </si>
  <si>
    <t>dilips@aditiconsulting.com</t>
  </si>
  <si>
    <t>ASIPL2939</t>
  </si>
  <si>
    <t>Bhavik Goswami</t>
  </si>
  <si>
    <t>bhavikg@aditiconsulting.com</t>
  </si>
  <si>
    <t>ASIPL2941</t>
  </si>
  <si>
    <t>Bala Yaswanth Ramau</t>
  </si>
  <si>
    <t>yaswanthb@aditiconsulting.com</t>
  </si>
  <si>
    <t>MIS</t>
  </si>
  <si>
    <t>Senior Data Engineer</t>
  </si>
  <si>
    <t>Sunil Nandakumar</t>
  </si>
  <si>
    <t>ASIPL3826</t>
  </si>
  <si>
    <t>Data Engineer</t>
  </si>
  <si>
    <t>ASIPL2947</t>
  </si>
  <si>
    <t>Pranati Rebecca Singh</t>
  </si>
  <si>
    <t>pranatis@aditiconsulting.com</t>
  </si>
  <si>
    <t>ASIPL2960</t>
  </si>
  <si>
    <t>prafulg@aditiconsulting.com</t>
  </si>
  <si>
    <t>ASIPL2970</t>
  </si>
  <si>
    <t>Neela Swamy</t>
  </si>
  <si>
    <t>neellas@aditiconsulting.com</t>
  </si>
  <si>
    <t>Senior Power BI Developer</t>
  </si>
  <si>
    <t>ASIPL2973</t>
  </si>
  <si>
    <t>Anil Upadhyay</t>
  </si>
  <si>
    <t>anilu@aditiconsulting.com</t>
  </si>
  <si>
    <t>Akshatha Rosline D R</t>
  </si>
  <si>
    <t>ASIPL3125</t>
  </si>
  <si>
    <t>ASIPL2983</t>
  </si>
  <si>
    <t>Nagadarshan M Mannapur</t>
  </si>
  <si>
    <t>nagadarshanm@aditiconsulting.com</t>
  </si>
  <si>
    <t>Senior Data Analyst</t>
  </si>
  <si>
    <t>ASIPL2984</t>
  </si>
  <si>
    <t>Sureshkumar Jolad</t>
  </si>
  <si>
    <t>sureshj@aditiconsulting.com</t>
  </si>
  <si>
    <t>ASIPL2990</t>
  </si>
  <si>
    <t>Pendem Babu</t>
  </si>
  <si>
    <t>pendemb@aditiconsulting.com</t>
  </si>
  <si>
    <t>Senior DevOps Engineer</t>
  </si>
  <si>
    <t>ASIPL3022</t>
  </si>
  <si>
    <t>Arun Kumar R</t>
  </si>
  <si>
    <t>arunr@aditiconsulting.com</t>
  </si>
  <si>
    <t>ASIPL3032</t>
  </si>
  <si>
    <t>Uma Madhusudhanan</t>
  </si>
  <si>
    <t>umam@aditiconsulting.com</t>
  </si>
  <si>
    <t>Senior Payroll Specialist</t>
  </si>
  <si>
    <t>ASIPL3033</t>
  </si>
  <si>
    <t>Suman Padhy</t>
  </si>
  <si>
    <t>sumanp@aditiconsulting.com</t>
  </si>
  <si>
    <t>Lead Payroll Specialist</t>
  </si>
  <si>
    <t>ASIPL3034</t>
  </si>
  <si>
    <t>Harshitha Jayasimharaju</t>
  </si>
  <si>
    <t>harshithaj@aditiconsulting.com</t>
  </si>
  <si>
    <t>ASIPL3042</t>
  </si>
  <si>
    <t>Onkar Thakur</t>
  </si>
  <si>
    <t>onkart@aditiconsulting.com</t>
  </si>
  <si>
    <t>ASIPL3064</t>
  </si>
  <si>
    <t>Raghavpudi Sagar Sharma</t>
  </si>
  <si>
    <t>raghavpudis@aditiconsulting.com</t>
  </si>
  <si>
    <t>ASIPL3078</t>
  </si>
  <si>
    <t>Jennifer P</t>
  </si>
  <si>
    <t>jenniferp@aditiconsulting.com</t>
  </si>
  <si>
    <t>ASIPL3090</t>
  </si>
  <si>
    <t>Keshav Soni</t>
  </si>
  <si>
    <t>keshavs@aditiconsulting.com</t>
  </si>
  <si>
    <t>ASIPL3096</t>
  </si>
  <si>
    <t>Prasanna Patil</t>
  </si>
  <si>
    <t>prasannap@aditiconsulting.com</t>
  </si>
  <si>
    <t>Mastercard</t>
  </si>
  <si>
    <t>ASIPL3107</t>
  </si>
  <si>
    <t>Debarati Das</t>
  </si>
  <si>
    <t>debaratid@aditiconsulting.com</t>
  </si>
  <si>
    <t>ASIPL3110</t>
  </si>
  <si>
    <t>Ajay Kumar</t>
  </si>
  <si>
    <t>ajayk@aditiconsulting.com</t>
  </si>
  <si>
    <t>Lead - Payroll &amp; Benefits Analyst</t>
  </si>
  <si>
    <t>ASIPL3111</t>
  </si>
  <si>
    <t>Parth Harshvardhan Shah</t>
  </si>
  <si>
    <t>parths@aditiconsulting.com</t>
  </si>
  <si>
    <t>Executive - Facility</t>
  </si>
  <si>
    <t>ASIPL3118</t>
  </si>
  <si>
    <t>Rajasekhar Ginjupalli</t>
  </si>
  <si>
    <t>rajasekharg@aditiconsulting.com</t>
  </si>
  <si>
    <t>Lead Devops Engineer</t>
  </si>
  <si>
    <t>ASIPL3126</t>
  </si>
  <si>
    <t>Krishna Mohan Yadav</t>
  </si>
  <si>
    <t>krishnamy@aditiconsulting.com</t>
  </si>
  <si>
    <t>ASIPL3134</t>
  </si>
  <si>
    <t>Debmalya Biswas</t>
  </si>
  <si>
    <t>debmalyab@aditiconsulting.com</t>
  </si>
  <si>
    <t>ASIPL3136</t>
  </si>
  <si>
    <t>Abhijeet Shrivastava</t>
  </si>
  <si>
    <t>abhijeets@aditiconsulting.com</t>
  </si>
  <si>
    <t>ASIPL3138</t>
  </si>
  <si>
    <t>Madhukesh N M</t>
  </si>
  <si>
    <t>madhukeshn@aditiconsulting.com</t>
  </si>
  <si>
    <t>ASIPL3167</t>
  </si>
  <si>
    <t>Abdul Razzak</t>
  </si>
  <si>
    <t>abdulra@aditiconsulting.com</t>
  </si>
  <si>
    <t>Lead - Recruiting Operations</t>
  </si>
  <si>
    <t>ASIPL3174</t>
  </si>
  <si>
    <t>Nehal Porwal</t>
  </si>
  <si>
    <t>nehalp@aditiconsulting.com</t>
  </si>
  <si>
    <t>ASIPL3184</t>
  </si>
  <si>
    <t>Nikhil Gade</t>
  </si>
  <si>
    <t>nikhilsg@aditiconsulting.com</t>
  </si>
  <si>
    <t>Software Engineer</t>
  </si>
  <si>
    <t>ASIPL3189</t>
  </si>
  <si>
    <t>Shashwat Sharma</t>
  </si>
  <si>
    <t>shashwats@aditiconsulting.com</t>
  </si>
  <si>
    <t>Senior Specialist - Recruiting Ops</t>
  </si>
  <si>
    <t>ASIPL3190</t>
  </si>
  <si>
    <t>Kruthika Rajanna</t>
  </si>
  <si>
    <t>kruthikar@aditiconsulting.com</t>
  </si>
  <si>
    <t>ASIPL3193</t>
  </si>
  <si>
    <t>Meenal Maheshwari</t>
  </si>
  <si>
    <t>meenalm@aditiconsulting.com</t>
  </si>
  <si>
    <t>Corp to Corp Manager</t>
  </si>
  <si>
    <t>ASIPL3194</t>
  </si>
  <si>
    <t>Divya Shree S</t>
  </si>
  <si>
    <t>divyas@aditiconsulting.com</t>
  </si>
  <si>
    <t>ASIPL3205</t>
  </si>
  <si>
    <t>Rahul Chauragade</t>
  </si>
  <si>
    <t>rahulc@aditiconsulting.com</t>
  </si>
  <si>
    <t>ASIPL3211</t>
  </si>
  <si>
    <t>Vohra Murtuza A.</t>
  </si>
  <si>
    <t>murtuzav@aditiconsulting.com</t>
  </si>
  <si>
    <t>Akanksha Pathak</t>
  </si>
  <si>
    <t>ASIPL3888</t>
  </si>
  <si>
    <t>ASIPL3232</t>
  </si>
  <si>
    <t>Bhavsar Priyank Ambalal</t>
  </si>
  <si>
    <t>bhavsar@aditiconsulting.com</t>
  </si>
  <si>
    <t>Senior - Desktop Support Engineer</t>
  </si>
  <si>
    <t>ASIPL3238</t>
  </si>
  <si>
    <t>Mritunjai S Rawat</t>
  </si>
  <si>
    <t>mritunjais@aditiconsulting.com</t>
  </si>
  <si>
    <t>ASIPL3239</t>
  </si>
  <si>
    <t>Balakrishnan Ramasamy</t>
  </si>
  <si>
    <t>balakrishnar@aditiconsulting.com</t>
  </si>
  <si>
    <t>Principal Data Engineer</t>
  </si>
  <si>
    <t>abhishekr@aditiconsulting.com</t>
  </si>
  <si>
    <t>ASIPL3251</t>
  </si>
  <si>
    <t>Tanisha Mandal</t>
  </si>
  <si>
    <t>tanisham@aditiconsulting.com</t>
  </si>
  <si>
    <t>ASIPL3257</t>
  </si>
  <si>
    <t>Rajiv Ranjan</t>
  </si>
  <si>
    <t>rajivr@aditiconsulting.com</t>
  </si>
  <si>
    <t>ASIPL3283</t>
  </si>
  <si>
    <t>Raghava Reddy</t>
  </si>
  <si>
    <t>raghavar@aditiconsulting.com</t>
  </si>
  <si>
    <t>dushyants@aditiconsulting.com</t>
  </si>
  <si>
    <t>ASIPL3311</t>
  </si>
  <si>
    <t>Dimpul Kumar</t>
  </si>
  <si>
    <t>dimpulk@aditiconsulting.com</t>
  </si>
  <si>
    <t>ASIPL3315</t>
  </si>
  <si>
    <t>Rahul Rameshchandra Patel</t>
  </si>
  <si>
    <t>rahulpa@aditiconsulting.com</t>
  </si>
  <si>
    <t>ASIPL3329</t>
  </si>
  <si>
    <t>Aishwarya Arjun Malusare</t>
  </si>
  <si>
    <t>aishwarya.arjun@aditiconsulting.com</t>
  </si>
  <si>
    <t>ASIPL3338</t>
  </si>
  <si>
    <t>Sanjana B D</t>
  </si>
  <si>
    <t>sanjanab@aditiconsulting.com</t>
  </si>
  <si>
    <t>Devops Engineer</t>
  </si>
  <si>
    <t>Manjunath M C</t>
  </si>
  <si>
    <t>ASIPL3386</t>
  </si>
  <si>
    <t>ASIPL3342</t>
  </si>
  <si>
    <t>Firoz Khan</t>
  </si>
  <si>
    <t>firoz.khan@aditiconsulting.com</t>
  </si>
  <si>
    <t>ASIPL3345</t>
  </si>
  <si>
    <t>Parmar Dipanjal</t>
  </si>
  <si>
    <t>dipanjal.parmar@aditiconsulting.com</t>
  </si>
  <si>
    <t>India-Corporate Recruiting</t>
  </si>
  <si>
    <t>Corporate Recruiter – India Recruiting</t>
  </si>
  <si>
    <t>ASIPL3346</t>
  </si>
  <si>
    <t>Ravikumar</t>
  </si>
  <si>
    <t>ravi.kumar@aditiconsulting.com</t>
  </si>
  <si>
    <t>ASIPL3355</t>
  </si>
  <si>
    <t>Justin J Miranda</t>
  </si>
  <si>
    <t>justin.miranda@aditiconsulting.com</t>
  </si>
  <si>
    <t>ASIPL3363</t>
  </si>
  <si>
    <t>Aadya Singh</t>
  </si>
  <si>
    <t>aadyasingh147@gmail.com</t>
  </si>
  <si>
    <t>Administrative Assistant 4</t>
  </si>
  <si>
    <t>ASIPL3377</t>
  </si>
  <si>
    <t>Divya Darshini A</t>
  </si>
  <si>
    <t>divya.darshini@aditiconsulting.com</t>
  </si>
  <si>
    <t>Senior Specialist - Talent Experience</t>
  </si>
  <si>
    <t>ASIPL3379</t>
  </si>
  <si>
    <t>Farhanur Rehman</t>
  </si>
  <si>
    <t>farhanur.rehman@aditiconsulting.com</t>
  </si>
  <si>
    <t>Database Administrator</t>
  </si>
  <si>
    <t>manjunath.mc@aditiconsulting.com</t>
  </si>
  <si>
    <t>ASIPL3394</t>
  </si>
  <si>
    <t>Aishwarya Sandra</t>
  </si>
  <si>
    <t>aishwarya.sandra@aditiconsulting.com</t>
  </si>
  <si>
    <t>Power BI Developer</t>
  </si>
  <si>
    <t>ASIPL3403</t>
  </si>
  <si>
    <t>Aritra Mitra</t>
  </si>
  <si>
    <t>aritra.mitra@aditiconsulting.com</t>
  </si>
  <si>
    <t>ASIPL3408</t>
  </si>
  <si>
    <t>Prabhakar Nath Tiwary</t>
  </si>
  <si>
    <t>prabhakar.tiwary@aditiconsulting.com</t>
  </si>
  <si>
    <t>ASIPL3411</t>
  </si>
  <si>
    <t>Dasari Manikanta</t>
  </si>
  <si>
    <t>dasari.manikanta@aditiconsulting.com</t>
  </si>
  <si>
    <t>Openshift Developer</t>
  </si>
  <si>
    <t>jogi.andrews@aditiconsulting.com</t>
  </si>
  <si>
    <t>Senior Manager - Onboarding &amp; Ops</t>
  </si>
  <si>
    <t>ASIPL3441</t>
  </si>
  <si>
    <t>Naveen Kumar V</t>
  </si>
  <si>
    <t>naveen.kumar@aditiconsulting.com</t>
  </si>
  <si>
    <t>Specialist - Onboarding &amp; Operations</t>
  </si>
  <si>
    <t>ASIPL3444</t>
  </si>
  <si>
    <t>Zeba R Shaikh</t>
  </si>
  <si>
    <t>zeba.shaikh@aditiconsulting.com</t>
  </si>
  <si>
    <t>ASIPL3454</t>
  </si>
  <si>
    <t>Arun P Sarma</t>
  </si>
  <si>
    <t>arunpsarmam10@gmail.com</t>
  </si>
  <si>
    <t>Talent Acquisition Coordinator</t>
  </si>
  <si>
    <t>PayPal</t>
  </si>
  <si>
    <t>madireddi.parvati@aditiconsulting.com</t>
  </si>
  <si>
    <t>Assistant Manager - People &amp; Culture</t>
  </si>
  <si>
    <t>ASIPL3469</t>
  </si>
  <si>
    <t>Supriya Khushalrao Kahalekar</t>
  </si>
  <si>
    <t>supriya.kahalekar8@gmail.com</t>
  </si>
  <si>
    <t>Pune</t>
  </si>
  <si>
    <t>Technical Program Manager</t>
  </si>
  <si>
    <t>ASIPL3497</t>
  </si>
  <si>
    <t>Kotha Praneeth Kumar</t>
  </si>
  <si>
    <t>kotha.kumar@aditiconsulting.com</t>
  </si>
  <si>
    <t>ASIPL3499</t>
  </si>
  <si>
    <t>Sayali Ashok Suryawanshi</t>
  </si>
  <si>
    <t>sayali.suryawanshi@aditiconsulting.com</t>
  </si>
  <si>
    <t>ASIPL3505</t>
  </si>
  <si>
    <t>Ashwini K</t>
  </si>
  <si>
    <t>ashwini.k@aditiconsulting.com</t>
  </si>
  <si>
    <t>ASIPL3517</t>
  </si>
  <si>
    <t>Dolly Singh</t>
  </si>
  <si>
    <t>singhdolly.1310@gmail.com</t>
  </si>
  <si>
    <t>Senior Software Development Engineer</t>
  </si>
  <si>
    <t>ASIPL3519</t>
  </si>
  <si>
    <t>Sumin Varghese</t>
  </si>
  <si>
    <t>sumin.varghese@aditiconsulting.com</t>
  </si>
  <si>
    <t>ASIPL3526</t>
  </si>
  <si>
    <t>Abhinav Sharma</t>
  </si>
  <si>
    <t>abhinav.sharma@aditiconsulting.com</t>
  </si>
  <si>
    <t>Noida</t>
  </si>
  <si>
    <t>ASIPL3539</t>
  </si>
  <si>
    <t>Santosh Devadiga</t>
  </si>
  <si>
    <t>santosh.devadiga@aditiconsulting.com</t>
  </si>
  <si>
    <t>Technical Architect - Android</t>
  </si>
  <si>
    <t>ASIPL3550</t>
  </si>
  <si>
    <t>Reyaz Ahmad</t>
  </si>
  <si>
    <t>reyaz.ahmad@aditiconsulting.com</t>
  </si>
  <si>
    <t>Lead Android Developer</t>
  </si>
  <si>
    <t>ASIPL3556</t>
  </si>
  <si>
    <t>Mariya Priya M</t>
  </si>
  <si>
    <t>mariya.m0812@gmail.com</t>
  </si>
  <si>
    <t>LinkedIn</t>
  </si>
  <si>
    <t>Administrative Services Associate</t>
  </si>
  <si>
    <t>ASIPL3557</t>
  </si>
  <si>
    <t>Mopuri Mounika</t>
  </si>
  <si>
    <t>mounika.mopuri@aditiconsulting.com</t>
  </si>
  <si>
    <t>ASIPL3560</t>
  </si>
  <si>
    <t>Vipul Shenoy</t>
  </si>
  <si>
    <t>vipul.shenoy@aditiconsulting.com</t>
  </si>
  <si>
    <t>ASIPL3569</t>
  </si>
  <si>
    <t>Sanket Sanjay Nyayadhish</t>
  </si>
  <si>
    <t>sanket.sanjay@aditiconsulting.com</t>
  </si>
  <si>
    <t>ASIPL3580</t>
  </si>
  <si>
    <t>Arjun D</t>
  </si>
  <si>
    <t>arjun.d@aditiconsulting.com</t>
  </si>
  <si>
    <t>Junior Devops Engineer</t>
  </si>
  <si>
    <t>ASIPL3625</t>
  </si>
  <si>
    <t>Panchal Sulay YogeshKumar</t>
  </si>
  <si>
    <t>sulaypanchal@gmail.com</t>
  </si>
  <si>
    <t>ASIPL3627</t>
  </si>
  <si>
    <t>Uday Krishna Guttula</t>
  </si>
  <si>
    <t>uday.krishna@aditiconsulting.com</t>
  </si>
  <si>
    <t>ASIPL3634</t>
  </si>
  <si>
    <t>Pamdulluri Surya</t>
  </si>
  <si>
    <t>pamdulluri.surya@gmail.com</t>
  </si>
  <si>
    <t>Q2</t>
  </si>
  <si>
    <t>Network Analyst - NOC Engineer</t>
  </si>
  <si>
    <t>ASIPL3635</t>
  </si>
  <si>
    <t>Ashish Jain</t>
  </si>
  <si>
    <t>ashish.jain@aditiconsulting.com</t>
  </si>
  <si>
    <t>Technical Architect</t>
  </si>
  <si>
    <t>ASIPL3638</t>
  </si>
  <si>
    <t>Ramakrishna Boodigumma</t>
  </si>
  <si>
    <t>ramakrishna.boodigumma@aditiconsulting.com</t>
  </si>
  <si>
    <t>ASIPL3639</t>
  </si>
  <si>
    <t>Harshin Kumar Raval</t>
  </si>
  <si>
    <t>harshin.raval@aditiconsulting.com</t>
  </si>
  <si>
    <t>Principal Recruiter</t>
  </si>
  <si>
    <t>ASIPL3643</t>
  </si>
  <si>
    <t>Drishti Bisht</t>
  </si>
  <si>
    <t>drishti.bisht@aditiconsulting.com</t>
  </si>
  <si>
    <t>ASIPL3646</t>
  </si>
  <si>
    <t>Prem Prakash Kashyap</t>
  </si>
  <si>
    <t>prempkashyap08@gmail.com</t>
  </si>
  <si>
    <t>Standard Chartered</t>
  </si>
  <si>
    <t>Data Analytics Consultant</t>
  </si>
  <si>
    <t>ASIPL3648</t>
  </si>
  <si>
    <t>JOEL K THOMAS</t>
  </si>
  <si>
    <t>joelkthomas11@gmail.com</t>
  </si>
  <si>
    <t>Senior Software Engineer - Full Stack</t>
  </si>
  <si>
    <t>ASIPL3650</t>
  </si>
  <si>
    <t>Subbulakshmi A</t>
  </si>
  <si>
    <t>tas.subbulaxmi@gmail.com</t>
  </si>
  <si>
    <t>Product Owner</t>
  </si>
  <si>
    <t>ASIPL3652</t>
  </si>
  <si>
    <t>J Isaac Praveen</t>
  </si>
  <si>
    <t>jisaacpraveen@gmail.com</t>
  </si>
  <si>
    <t>ASIPL3658</t>
  </si>
  <si>
    <t>YASHADEEP AVINASH BHAVE</t>
  </si>
  <si>
    <t>yashadeep.bhave@gmail.com</t>
  </si>
  <si>
    <t>Senior Analyst - Franchise Management</t>
  </si>
  <si>
    <t>ASIPL3662</t>
  </si>
  <si>
    <t>S Vigneshwaran</t>
  </si>
  <si>
    <t>vicki.sankar22593@gmail.com</t>
  </si>
  <si>
    <t>Manual Tester (RTOB)</t>
  </si>
  <si>
    <t>ASIPL3667</t>
  </si>
  <si>
    <t>Prem Somani</t>
  </si>
  <si>
    <t>premsomani54@gmail.com</t>
  </si>
  <si>
    <t>ASIPL3670</t>
  </si>
  <si>
    <t>Cruz infantraj Francis Xavier</t>
  </si>
  <si>
    <t>cruzemperorofbac@gmail.com</t>
  </si>
  <si>
    <t>Test Engineer</t>
  </si>
  <si>
    <t>ASIPL3674</t>
  </si>
  <si>
    <t>Sahukara Yaswanth</t>
  </si>
  <si>
    <t>yashmanual@gmail.com</t>
  </si>
  <si>
    <t>ASIPL3677</t>
  </si>
  <si>
    <t>Rajalakshmi S</t>
  </si>
  <si>
    <t>rajalakshmisankar90@gmail.com</t>
  </si>
  <si>
    <t>ASIPL3680</t>
  </si>
  <si>
    <t>Manikanda Raja J</t>
  </si>
  <si>
    <t>manikandarajaaero@gmail.com</t>
  </si>
  <si>
    <t>ASIPL3681</t>
  </si>
  <si>
    <t>Praveen Sathiyanathan</t>
  </si>
  <si>
    <t>praveensathiya.sh@gmail.com</t>
  </si>
  <si>
    <t>ASIPL3694</t>
  </si>
  <si>
    <t>Preethi Prince L</t>
  </si>
  <si>
    <t>preethiprinceallan@gmail.com</t>
  </si>
  <si>
    <t>ASIPL3698</t>
  </si>
  <si>
    <t>Yash Thakur</t>
  </si>
  <si>
    <t>yashthakur@aditiconsulting.com</t>
  </si>
  <si>
    <t>ASIPL3700</t>
  </si>
  <si>
    <t>Welfred Preetham</t>
  </si>
  <si>
    <t>welfred.preetham@aditiconsulting.com</t>
  </si>
  <si>
    <t>ASIPL3703</t>
  </si>
  <si>
    <t>SHREEMA PATTANAIK</t>
  </si>
  <si>
    <t>shreema88@gmail.com</t>
  </si>
  <si>
    <t>ramna.vadavalli@aditiconsulting.com</t>
  </si>
  <si>
    <t>India Country Head</t>
  </si>
  <si>
    <t>ASIPL3710</t>
  </si>
  <si>
    <t>Labiangshisha Nongspung</t>
  </si>
  <si>
    <t>labiangshisha.nongspung@aditiconsulting.com</t>
  </si>
  <si>
    <t>Client Service Associate</t>
  </si>
  <si>
    <t>ASIPL3711</t>
  </si>
  <si>
    <t>Manjunath Kovalli</t>
  </si>
  <si>
    <t>manjunath.kovalli@aditiconsulting.com</t>
  </si>
  <si>
    <t>ASIPL3712</t>
  </si>
  <si>
    <t>Chandrasekar Ramasamy</t>
  </si>
  <si>
    <t>chandrasekarramasamy10@gmail.com</t>
  </si>
  <si>
    <t>ASIPL3713</t>
  </si>
  <si>
    <t>Aakash Viswambharan</t>
  </si>
  <si>
    <t>aakashviswam@gmail.com</t>
  </si>
  <si>
    <t>ASIPL3714</t>
  </si>
  <si>
    <t>Chandrasekaran M</t>
  </si>
  <si>
    <t>aruncenaa@gmail.com</t>
  </si>
  <si>
    <t>ASIPL3719</t>
  </si>
  <si>
    <t>Jyothi V</t>
  </si>
  <si>
    <t>jyothivswamy@gmail.com</t>
  </si>
  <si>
    <t>ASIPL3725</t>
  </si>
  <si>
    <t>Krishna Narendra Manohar</t>
  </si>
  <si>
    <t>krishna.manohar@aditiconsulting.com</t>
  </si>
  <si>
    <t>ASIPL3732</t>
  </si>
  <si>
    <t>Bhakti Rajeev Parve</t>
  </si>
  <si>
    <t>parvebhakti@gmail.com</t>
  </si>
  <si>
    <t>Associate HR Specialist</t>
  </si>
  <si>
    <t>ASIPL3733</t>
  </si>
  <si>
    <t>Suresh Chowdary Atukuri</t>
  </si>
  <si>
    <t>sureshchowdary.atukuri@gmail.com</t>
  </si>
  <si>
    <t>Senior Java Developer</t>
  </si>
  <si>
    <t>ASIPL3736</t>
  </si>
  <si>
    <t>Vinayakam V</t>
  </si>
  <si>
    <t>vinyk17@gmail.com</t>
  </si>
  <si>
    <t>Manual API Test Engineer</t>
  </si>
  <si>
    <t>ASIPL3738</t>
  </si>
  <si>
    <t>Rauf Zakir Malek</t>
  </si>
  <si>
    <t>rauf.malek@aditiconsulting.com</t>
  </si>
  <si>
    <t>ASIPL3739</t>
  </si>
  <si>
    <t>Adityakumar Malusare</t>
  </si>
  <si>
    <t>adityakumar.malusare@aditiconsulting.com</t>
  </si>
  <si>
    <t>Redeployment</t>
  </si>
  <si>
    <t>ASIPL3746</t>
  </si>
  <si>
    <t>Purnima Sinha</t>
  </si>
  <si>
    <t>purnima.sinha@aditiconsulting.com</t>
  </si>
  <si>
    <t>ASIPL3749</t>
  </si>
  <si>
    <t>Manya Soni</t>
  </si>
  <si>
    <t>manya.soni@aditiconsulting.com</t>
  </si>
  <si>
    <t>Trainee Recruiter</t>
  </si>
  <si>
    <t>ASIPL3752</t>
  </si>
  <si>
    <t>Tyagi Aayushi Vijay</t>
  </si>
  <si>
    <t>aayushi.tyagi@aditiconsulting.com</t>
  </si>
  <si>
    <t>Wabtec</t>
  </si>
  <si>
    <t>ASIPL3771</t>
  </si>
  <si>
    <t>Nandini Rudrapratap Singh</t>
  </si>
  <si>
    <t>nandini.singh@aditiconsulting.com</t>
  </si>
  <si>
    <t>Java Backend Developer</t>
  </si>
  <si>
    <t>ASIPL3781</t>
  </si>
  <si>
    <t>Shiva Rama Kant Singh</t>
  </si>
  <si>
    <t>sishiva96@gmail.com</t>
  </si>
  <si>
    <t>Senior Executive - Employment Engagement</t>
  </si>
  <si>
    <t>ASIPL3786</t>
  </si>
  <si>
    <t>Nitish Jain</t>
  </si>
  <si>
    <t>nitish.jain@aditiconsulting.com</t>
  </si>
  <si>
    <t>Business Development Leader</t>
  </si>
  <si>
    <t>ASIPL3793</t>
  </si>
  <si>
    <t>Ishika Rajdev</t>
  </si>
  <si>
    <t>ishika.rajdev@aditiconsulting.com</t>
  </si>
  <si>
    <t>ASIPL3794</t>
  </si>
  <si>
    <t>Tejaswini S</t>
  </si>
  <si>
    <t>tejaswini.s@aditiconsulting.com</t>
  </si>
  <si>
    <t>Long Leave</t>
  </si>
  <si>
    <t>Intuit</t>
  </si>
  <si>
    <t>gaurav.pancholi@aditiconsulting.com</t>
  </si>
  <si>
    <t>ASIPL3807</t>
  </si>
  <si>
    <t>Selvakannanan Arumugam</t>
  </si>
  <si>
    <t>selvakannan007@gmail.com</t>
  </si>
  <si>
    <t>ASIPL3808</t>
  </si>
  <si>
    <t>Akshara Anant</t>
  </si>
  <si>
    <t>akshara.anant@aditiconsulting.com</t>
  </si>
  <si>
    <t>Junaid Imdadullah</t>
  </si>
  <si>
    <t>ASIPL3292</t>
  </si>
  <si>
    <t>ASIPL3810</t>
  </si>
  <si>
    <t>Kriti Vishnoi</t>
  </si>
  <si>
    <t>kriti.vishnoi@aditiconsulting.com</t>
  </si>
  <si>
    <t>ASIPL3815</t>
  </si>
  <si>
    <t>Pranjal Tiwari</t>
  </si>
  <si>
    <t>praanjaltiwaarii@gmail.com</t>
  </si>
  <si>
    <t>Senior Java Backend Developer</t>
  </si>
  <si>
    <t>ASIPL3816</t>
  </si>
  <si>
    <t>Rajesh Kumar Singh</t>
  </si>
  <si>
    <t>rajesh.kumar@aditiconsulting.com</t>
  </si>
  <si>
    <t>ASIPL3823</t>
  </si>
  <si>
    <t>Utkarsh Verma</t>
  </si>
  <si>
    <t>utverma0100@gmail.com</t>
  </si>
  <si>
    <t>Senior Backend Developer</t>
  </si>
  <si>
    <t>sunil.nandakumar@aditiconsulting.com</t>
  </si>
  <si>
    <t>Senior Manager - MIS</t>
  </si>
  <si>
    <t>ASIPL3828</t>
  </si>
  <si>
    <t>Navya Shree B</t>
  </si>
  <si>
    <t>navya.shree@aditiconsulting.com</t>
  </si>
  <si>
    <t>Coordinator - Recruiting Operations</t>
  </si>
  <si>
    <t>ASIPL3834</t>
  </si>
  <si>
    <t>Niranjan Behera</t>
  </si>
  <si>
    <t>niranjan.bir700088@gmail.com</t>
  </si>
  <si>
    <t>ASIPL3849</t>
  </si>
  <si>
    <t>Rutuja Mallappa Dhekolkar</t>
  </si>
  <si>
    <t>rutuja.mallappa@aditiconsulting.com</t>
  </si>
  <si>
    <t>ASIPL3851</t>
  </si>
  <si>
    <t>Vanshaj Parvesh Pathak</t>
  </si>
  <si>
    <t>vanshaj.pathak@aditiconsulting.com</t>
  </si>
  <si>
    <t>ASIPL3852</t>
  </si>
  <si>
    <t>A Bharathi</t>
  </si>
  <si>
    <t>bharthi.rosie@gmail.com</t>
  </si>
  <si>
    <t>Test Analyst</t>
  </si>
  <si>
    <t>ASIPL3855</t>
  </si>
  <si>
    <t>RAMESH R</t>
  </si>
  <si>
    <t>rameshnandy8@gmail.com</t>
  </si>
  <si>
    <t>ASIPL3858</t>
  </si>
  <si>
    <t>Manisha Sao</t>
  </si>
  <si>
    <t>manishasao2008@gmail.com</t>
  </si>
  <si>
    <t>Senior Business Administrator</t>
  </si>
  <si>
    <t>ASIPL3860</t>
  </si>
  <si>
    <t>Parmar Dineshbhai</t>
  </si>
  <si>
    <t>dineshparmar47223@gmail.com</t>
  </si>
  <si>
    <t>Administrative Assistant</t>
  </si>
  <si>
    <t>ASIPL3864</t>
  </si>
  <si>
    <t>Suvalakshmi S</t>
  </si>
  <si>
    <t>suvalakshmisukumar@gmail.com</t>
  </si>
  <si>
    <t>HR Operations Advisor</t>
  </si>
  <si>
    <t>ASIPL3865</t>
  </si>
  <si>
    <t>Neha Sinha</t>
  </si>
  <si>
    <t>nehamanojpatil23@gmail.com</t>
  </si>
  <si>
    <t>Senior Customer Success Manager</t>
  </si>
  <si>
    <t>ASIPL3879</t>
  </si>
  <si>
    <t>Muneer Abdul Salam</t>
  </si>
  <si>
    <t>muneersalamofficial@gmail.com</t>
  </si>
  <si>
    <t>Senior HR Operations Advisor</t>
  </si>
  <si>
    <t>ashfak.shaikh@aditiconsulting.com</t>
  </si>
  <si>
    <t>akanksha.pathak@aditiconsulting.com</t>
  </si>
  <si>
    <t>ASIPL3889</t>
  </si>
  <si>
    <t>Nirbhai Tiwari</t>
  </si>
  <si>
    <t>nirbhai.tiwari@aditiconsulting.com</t>
  </si>
  <si>
    <t>ASIPL3892</t>
  </si>
  <si>
    <t>Manthan Khorwal</t>
  </si>
  <si>
    <t>manthankhorwal502@gmail.com</t>
  </si>
  <si>
    <t>ASIPL3894</t>
  </si>
  <si>
    <t>Yukti Garg</t>
  </si>
  <si>
    <t>gargyukti27@gmail.com</t>
  </si>
  <si>
    <t>ASIPL3899</t>
  </si>
  <si>
    <t>Geetha M</t>
  </si>
  <si>
    <t>geetha.m@aditiconsulting.com</t>
  </si>
  <si>
    <t>India Marketing</t>
  </si>
  <si>
    <t>Director - Marketing</t>
  </si>
  <si>
    <t>ASIPL3901</t>
  </si>
  <si>
    <t>Manikandan K A</t>
  </si>
  <si>
    <t>manibecse.kandan5@gmail.com</t>
  </si>
  <si>
    <t>Technical Support Lead</t>
  </si>
  <si>
    <t>ASIPL3905</t>
  </si>
  <si>
    <t>SSM Sai Kumar</t>
  </si>
  <si>
    <t>ssmsaikumar2013@gmail.com</t>
  </si>
  <si>
    <t>ASIPL3907</t>
  </si>
  <si>
    <t>Anu S</t>
  </si>
  <si>
    <t>anukumaran1996@gmail.com</t>
  </si>
  <si>
    <t>Lead Technical Support Engineer</t>
  </si>
  <si>
    <t>ASIPL3908</t>
  </si>
  <si>
    <t>Matheenulla Khan S</t>
  </si>
  <si>
    <t>s.matheenullakhan@gmail.com</t>
  </si>
  <si>
    <t>Lead Risk Approver</t>
  </si>
  <si>
    <t>ASIPL3915</t>
  </si>
  <si>
    <t>Eduru Kiriti</t>
  </si>
  <si>
    <t>eduru.kiriti@aditiconsulting.com</t>
  </si>
  <si>
    <t>Ramkrishna Biswas</t>
  </si>
  <si>
    <t>ASIPL3831</t>
  </si>
  <si>
    <t>ASIPL3917</t>
  </si>
  <si>
    <t>Sonali Panigrahy</t>
  </si>
  <si>
    <t>sonali.panigrahy@aditiconsulting.com</t>
  </si>
  <si>
    <t>Team Lead - IT Operations</t>
  </si>
  <si>
    <t>ASIPL3919</t>
  </si>
  <si>
    <t>Abu Bakker Siddik</t>
  </si>
  <si>
    <t>abu.smtp@gmail.com</t>
  </si>
  <si>
    <t>Lead Full Stack Developer</t>
  </si>
  <si>
    <t>ASIPL3921</t>
  </si>
  <si>
    <t>Sivashakthi M</t>
  </si>
  <si>
    <t>sivashakthimanoharan@gmail.com</t>
  </si>
  <si>
    <t>ASIPL3923</t>
  </si>
  <si>
    <t>Rajasekar R</t>
  </si>
  <si>
    <t>rajasekar.ruk@outlook.com</t>
  </si>
  <si>
    <t>ASIPL3925</t>
  </si>
  <si>
    <t>Shubhangi Nema</t>
  </si>
  <si>
    <t>shubhangi.nema98@gmail.com</t>
  </si>
  <si>
    <t>ASIPL3928</t>
  </si>
  <si>
    <t>Shivani A</t>
  </si>
  <si>
    <t>arorashivani9870@gmail.com</t>
  </si>
  <si>
    <t>Customer Success Manager</t>
  </si>
  <si>
    <t>ASIPL3931</t>
  </si>
  <si>
    <t>Hariharan S</t>
  </si>
  <si>
    <t>hariharanes2805@gmail.com</t>
  </si>
  <si>
    <t>Recruiting Sourcing Consultant</t>
  </si>
  <si>
    <t>ASIPL3933</t>
  </si>
  <si>
    <t>Yeshwanth B L</t>
  </si>
  <si>
    <t>yeshwanthlksh@gmail.com</t>
  </si>
  <si>
    <t>ASIPL3940</t>
  </si>
  <si>
    <t>Thirumal Santhanam</t>
  </si>
  <si>
    <t>thirumalbalaji76@gmail.com</t>
  </si>
  <si>
    <t>ASIPL3941</t>
  </si>
  <si>
    <t>Suyog kishor Bhagde</t>
  </si>
  <si>
    <t>suyogbhagde@gmail.com</t>
  </si>
  <si>
    <t>Customer Configuration &amp; Implementation Specialist</t>
  </si>
  <si>
    <t>ASIPL3942</t>
  </si>
  <si>
    <t>Himanshu Joshi</t>
  </si>
  <si>
    <t>hamujoshi26@gmail.com</t>
  </si>
  <si>
    <t>Senior Full Stack Developer</t>
  </si>
  <si>
    <t>ASIPL3944</t>
  </si>
  <si>
    <t>Chandan B K</t>
  </si>
  <si>
    <t>chandan.bk@aditiconsulting.com</t>
  </si>
  <si>
    <t>ASIPL3946</t>
  </si>
  <si>
    <t>Dinesh Netaji Patil</t>
  </si>
  <si>
    <t>dineshnpatil03@gmail.com</t>
  </si>
  <si>
    <t>Lead BizOps Engineer</t>
  </si>
  <si>
    <t>ASIPL3947</t>
  </si>
  <si>
    <t>S Swathy</t>
  </si>
  <si>
    <t>swathycse1995@gmail.com</t>
  </si>
  <si>
    <t>ASIPL3950</t>
  </si>
  <si>
    <t>Vasim Imtiyaz Shaikh</t>
  </si>
  <si>
    <t>avasimshaikh@gmail.com</t>
  </si>
  <si>
    <t>Principal Engineer</t>
  </si>
  <si>
    <t>ASIPL3951</t>
  </si>
  <si>
    <t>Harshitha M A</t>
  </si>
  <si>
    <t>harshithama@aditiconsulting.com</t>
  </si>
  <si>
    <t>ASIPL3952</t>
  </si>
  <si>
    <t>Abhishek M Tenglikar</t>
  </si>
  <si>
    <t>abhishekm@aditiconsulting.com</t>
  </si>
  <si>
    <t>Customer Support Specialist</t>
  </si>
  <si>
    <t>ASIPL3957</t>
  </si>
  <si>
    <t>SANDHYA BODDU</t>
  </si>
  <si>
    <t>sandhyab3226@gmail.com</t>
  </si>
  <si>
    <t>ASIPL3959</t>
  </si>
  <si>
    <t>KRISHNA RAO ALLA</t>
  </si>
  <si>
    <t>krishna.alla@outlook.com</t>
  </si>
  <si>
    <t>ASIPL3964</t>
  </si>
  <si>
    <t>Asha Sanathana</t>
  </si>
  <si>
    <t>ashanaidu17@gmail.com</t>
  </si>
  <si>
    <t>ASIPL3965</t>
  </si>
  <si>
    <t>Dharmakari Latha Sri</t>
  </si>
  <si>
    <t>lathasri.dharmakari@gmail.com</t>
  </si>
  <si>
    <t>ASIPL3972</t>
  </si>
  <si>
    <t>Shwetha Dubey</t>
  </si>
  <si>
    <t>shweths25@gmail.com</t>
  </si>
  <si>
    <t>Learning Technology Specialist</t>
  </si>
  <si>
    <t>ASIPL3973</t>
  </si>
  <si>
    <t>Shivraj Pujari</t>
  </si>
  <si>
    <t>shivraj.pujari89@gmail.com</t>
  </si>
  <si>
    <t>ASIPL3974</t>
  </si>
  <si>
    <t>Kamana Surya Venkata Naga Sai Pradeep</t>
  </si>
  <si>
    <t>suryapradeep.kamana@gmail.com</t>
  </si>
  <si>
    <t>Data Test Analyst</t>
  </si>
  <si>
    <t>ASIPL3975</t>
  </si>
  <si>
    <t>Madhuri Dipak Parmar</t>
  </si>
  <si>
    <t>parmarmadhurid@gmail.com</t>
  </si>
  <si>
    <t>Senior Instructional Designer</t>
  </si>
  <si>
    <t>ASIPL3977</t>
  </si>
  <si>
    <t>Sabyasachi Choudhury</t>
  </si>
  <si>
    <t>sabyasachi.choudhury@aditiconsulting.com</t>
  </si>
  <si>
    <t>ASIPL3978</t>
  </si>
  <si>
    <t>Abood Imtiaz</t>
  </si>
  <si>
    <t>abood.imtiaz@aditiconsulting.com</t>
  </si>
  <si>
    <t>Lead - People &amp; Culture</t>
  </si>
  <si>
    <t>ASIPL3980</t>
  </si>
  <si>
    <t>Sharana BH</t>
  </si>
  <si>
    <t>sharanshari148@gmail.com</t>
  </si>
  <si>
    <t>Diageo</t>
  </si>
  <si>
    <t>Credit Specialist</t>
  </si>
  <si>
    <t>ASIPL3993</t>
  </si>
  <si>
    <t>Prabhudatta Pattanayak</t>
  </si>
  <si>
    <t>prabhudatta.7978@gmail.com</t>
  </si>
  <si>
    <t>ASIPL3998</t>
  </si>
  <si>
    <t>Revathi K Nair</t>
  </si>
  <si>
    <t>revathyk0505@gmail.com</t>
  </si>
  <si>
    <t>ASIPL3999</t>
  </si>
  <si>
    <t>Akash Kiran G</t>
  </si>
  <si>
    <t>gakashkiran@gmail.com</t>
  </si>
  <si>
    <t>ashish.s@aditiconsulting.com</t>
  </si>
  <si>
    <t>Director - Client Services &amp; Delivery</t>
  </si>
  <si>
    <t>ASIPL4007</t>
  </si>
  <si>
    <t>Aravindh N C</t>
  </si>
  <si>
    <t>aravindhnc23@gmail.com</t>
  </si>
  <si>
    <t>Software Developer</t>
  </si>
  <si>
    <t>ASIPL4011</t>
  </si>
  <si>
    <t>Cynthia Anton</t>
  </si>
  <si>
    <t>cynthia.anton@aditiconsulting.com</t>
  </si>
  <si>
    <t>ASIPL4012</t>
  </si>
  <si>
    <t>Ankita Jain Kapur</t>
  </si>
  <si>
    <t>ankita.jain@aditiconsulting.com</t>
  </si>
  <si>
    <t>Senior AI Engineer</t>
  </si>
  <si>
    <t>ASIPL4013</t>
  </si>
  <si>
    <t>Pooja Kadwa</t>
  </si>
  <si>
    <t>poojakadwa999@gmail.com</t>
  </si>
  <si>
    <t>Senior Executive Assistant</t>
  </si>
  <si>
    <t>ASIPL4016</t>
  </si>
  <si>
    <t>Samtani Ritwik Nilesh</t>
  </si>
  <si>
    <t>ritwik.samtani@aditiconsulting.com</t>
  </si>
  <si>
    <t>People Operations Business Partner</t>
  </si>
  <si>
    <t>ASIPL4017</t>
  </si>
  <si>
    <t>Aditya Rajput</t>
  </si>
  <si>
    <t>rajput141194@gmail.com</t>
  </si>
  <si>
    <t>Senior Product Designer</t>
  </si>
  <si>
    <t>ASIPL4019</t>
  </si>
  <si>
    <t>S Kalaiselvan</t>
  </si>
  <si>
    <t>kalaiselvan.s@aditiconsulting.com</t>
  </si>
  <si>
    <t>ASIPL4020</t>
  </si>
  <si>
    <t>Narendra R</t>
  </si>
  <si>
    <t>narendra.r@aditiconsulting.com</t>
  </si>
  <si>
    <t>Motion Graphics Producer</t>
  </si>
  <si>
    <t>ASIPL4025</t>
  </si>
  <si>
    <t>Prasad Yagana</t>
  </si>
  <si>
    <t>lucyd440@gmail.com</t>
  </si>
  <si>
    <t>Salesforce Admin II</t>
  </si>
  <si>
    <t>ASIPL4027</t>
  </si>
  <si>
    <t>Shruthi B</t>
  </si>
  <si>
    <t>shruthi.b@aditiconsulting.com</t>
  </si>
  <si>
    <t>ASIPL4031</t>
  </si>
  <si>
    <t>Nikhil Negi</t>
  </si>
  <si>
    <t>nikhilnegi95@gmail.com</t>
  </si>
  <si>
    <t>ASIPL4032</t>
  </si>
  <si>
    <t>Abhinay P Gali</t>
  </si>
  <si>
    <t>abhinaygali@yahoo.com</t>
  </si>
  <si>
    <t>Product Owner (Mortgage Banking)</t>
  </si>
  <si>
    <t>ASIPL4035</t>
  </si>
  <si>
    <t>Rajesh Shettigar</t>
  </si>
  <si>
    <t>rajesh.shettigar@aditiconsulting.com</t>
  </si>
  <si>
    <t>Video Producer</t>
  </si>
  <si>
    <t>ASIPL4036</t>
  </si>
  <si>
    <t>Arun Yuvaraj</t>
  </si>
  <si>
    <t>arun.yuvaraj@aditiconsulting.com</t>
  </si>
  <si>
    <t>ASIPL4039</t>
  </si>
  <si>
    <t>Anurag C S</t>
  </si>
  <si>
    <t>anuragcs06@gmail.com</t>
  </si>
  <si>
    <t>ASIPL4041</t>
  </si>
  <si>
    <t>Lavanya K</t>
  </si>
  <si>
    <t>lavanyasekar572023@gmail.com</t>
  </si>
  <si>
    <t>Senior Finance Analyst</t>
  </si>
  <si>
    <t>ASIPL4043</t>
  </si>
  <si>
    <t>Kapil Mohanlal Jain</t>
  </si>
  <si>
    <t>kapil.jain@aditiconsulting.com</t>
  </si>
  <si>
    <t>Ansible Developer</t>
  </si>
  <si>
    <t>ASIPL4045</t>
  </si>
  <si>
    <t>Sunny Santhosh Anbuselvam</t>
  </si>
  <si>
    <t>sunnysanthosh.2022@gmail.com</t>
  </si>
  <si>
    <t>Learning Manager</t>
  </si>
  <si>
    <t>ASIPL4047</t>
  </si>
  <si>
    <t>Nikhil R</t>
  </si>
  <si>
    <t>connectnikhilravi@gmail.com</t>
  </si>
  <si>
    <t>Sales Coordinator</t>
  </si>
  <si>
    <t>ASIPL4049</t>
  </si>
  <si>
    <t>Venkat Narayanan L</t>
  </si>
  <si>
    <t>venkat_btech2003@yahoo.co.in</t>
  </si>
  <si>
    <t>Lead - Data Governance</t>
  </si>
  <si>
    <t>ASIPL4052</t>
  </si>
  <si>
    <t>Mohammad Thanseef</t>
  </si>
  <si>
    <t>mohammad.thanseef@aditiconsulting.com</t>
  </si>
  <si>
    <t>Sr LabView Engineer</t>
  </si>
  <si>
    <t>Anushree Roy Choudhary</t>
  </si>
  <si>
    <t>ASIPL4149</t>
  </si>
  <si>
    <t>ASIPL4054</t>
  </si>
  <si>
    <t>Vivesh Ranchan Kumar</t>
  </si>
  <si>
    <t>vivesh.kumar@aditiconsulting.com</t>
  </si>
  <si>
    <t>ASIPL4055</t>
  </si>
  <si>
    <t>Udiksha Srivastava</t>
  </si>
  <si>
    <t>udiksha.srivastava@aditiconsulting.com</t>
  </si>
  <si>
    <t>Brand Marketing - Manager</t>
  </si>
  <si>
    <t>ASIPL4060</t>
  </si>
  <si>
    <t>Priyadarsh P</t>
  </si>
  <si>
    <t>priyadarsh.p@aditiconsulting.com</t>
  </si>
  <si>
    <t>Creative Design Specialist</t>
  </si>
  <si>
    <t>ASIPL4061</t>
  </si>
  <si>
    <t>Anuj Bhargava</t>
  </si>
  <si>
    <t>anujbhargava50@gmail.com</t>
  </si>
  <si>
    <t>ASIPL4067</t>
  </si>
  <si>
    <t>Aruna Bajirao Saloke</t>
  </si>
  <si>
    <t>salokhearuna@gmail.com</t>
  </si>
  <si>
    <t>ASIPL4069</t>
  </si>
  <si>
    <t>M Yogalakshmi</t>
  </si>
  <si>
    <t>yogalakshmi96.m@gmail.com</t>
  </si>
  <si>
    <t>ASIPL4072</t>
  </si>
  <si>
    <t>Sanchari Biswas</t>
  </si>
  <si>
    <t>sancharibsws@gmail.com</t>
  </si>
  <si>
    <t>ASIPL4082</t>
  </si>
  <si>
    <t>Deepika Ponmanickam</t>
  </si>
  <si>
    <t>deepika.ponmanickam@aditiconsulting.com</t>
  </si>
  <si>
    <t>ASIPL4083</t>
  </si>
  <si>
    <t>Riza Ruksar</t>
  </si>
  <si>
    <t>riza.ruksar1@gmail.com</t>
  </si>
  <si>
    <t>ASIPL4085</t>
  </si>
  <si>
    <t>Sarika G. Bhandarkavate</t>
  </si>
  <si>
    <t>sarika.g@aditiconsulting.com</t>
  </si>
  <si>
    <t>Associate Director - Client Services</t>
  </si>
  <si>
    <t>ASIPL4087</t>
  </si>
  <si>
    <t>V Pradeep Kumar</t>
  </si>
  <si>
    <t>pradeepsugu1985@gmail.com</t>
  </si>
  <si>
    <t>Sales Operations Analyst</t>
  </si>
  <si>
    <t>ASIPL4088</t>
  </si>
  <si>
    <t>Aravind Bojjapally</t>
  </si>
  <si>
    <t>aravindbojjapally3017@gmail.com</t>
  </si>
  <si>
    <t>Infrastructure Specialist</t>
  </si>
  <si>
    <t>ASIPL4090</t>
  </si>
  <si>
    <t>Keerti N Mirji</t>
  </si>
  <si>
    <t>keerti.n@aditiconsulting.com</t>
  </si>
  <si>
    <t>Operations Engineer</t>
  </si>
  <si>
    <t>ASIPL4091</t>
  </si>
  <si>
    <t>Biswanath Dash</t>
  </si>
  <si>
    <t>biswanath.dash@aditiconsulting.com</t>
  </si>
  <si>
    <t>Service Coordinator</t>
  </si>
  <si>
    <t>ASIPL4094</t>
  </si>
  <si>
    <t>Chandrakant Dnyaneshwar Patil</t>
  </si>
  <si>
    <t>chandrakant.patil@aditiconsulting.com</t>
  </si>
  <si>
    <t>Rubrik</t>
  </si>
  <si>
    <t>Cloud Engineer</t>
  </si>
  <si>
    <t>ASIPL4099</t>
  </si>
  <si>
    <t>Anuja Rai</t>
  </si>
  <si>
    <t>anujarai92@gmail.com</t>
  </si>
  <si>
    <t>Application Administrator II</t>
  </si>
  <si>
    <t>ASIPL4100</t>
  </si>
  <si>
    <t>Monika J</t>
  </si>
  <si>
    <t>monikajayachandra@gmail.com</t>
  </si>
  <si>
    <t>ASIPL4101</t>
  </si>
  <si>
    <t>Vigneswar .</t>
  </si>
  <si>
    <t>vigneshwarv05@gmail.com</t>
  </si>
  <si>
    <t>ASIPL4102</t>
  </si>
  <si>
    <t>Ishpreet Kaur</t>
  </si>
  <si>
    <t>ishakaur310@gmail.com</t>
  </si>
  <si>
    <t>CSR Operations and Compliance Manager</t>
  </si>
  <si>
    <t>ASIPL4103</t>
  </si>
  <si>
    <t>K MARIA JEROMI</t>
  </si>
  <si>
    <t>maria.jeromi3081@gmail.com</t>
  </si>
  <si>
    <t>ASIPL4105</t>
  </si>
  <si>
    <t>Perimineni Jagannadha Babu</t>
  </si>
  <si>
    <t>jagannadhamp89@gmail.com</t>
  </si>
  <si>
    <t>Lead Analyst</t>
  </si>
  <si>
    <t>ASIPL4107</t>
  </si>
  <si>
    <t>Puneeth Gowda H C</t>
  </si>
  <si>
    <t>puneeth.gowda@aditiconsulting.com</t>
  </si>
  <si>
    <t>ASIPL4108</t>
  </si>
  <si>
    <t>Pula Vinodkumar</t>
  </si>
  <si>
    <t>pula.vinodkumar@aditiconsulting.com</t>
  </si>
  <si>
    <t>Embedded Software Developer</t>
  </si>
  <si>
    <t>ASIPL4109</t>
  </si>
  <si>
    <t>Gouthami C V</t>
  </si>
  <si>
    <t>gouthami.cv@aditiconsulting.com</t>
  </si>
  <si>
    <t>ASIPL4111</t>
  </si>
  <si>
    <t>Someshwar T</t>
  </si>
  <si>
    <t>someshthiyagu@gmail.com</t>
  </si>
  <si>
    <t>ASIPL4112</t>
  </si>
  <si>
    <t>Vinod Kumar Padmanabhan</t>
  </si>
  <si>
    <t>vinod_uae@outlook.com</t>
  </si>
  <si>
    <t>UI/UX Designer</t>
  </si>
  <si>
    <t>ASIPL4113</t>
  </si>
  <si>
    <t>Gaurav Kumar</t>
  </si>
  <si>
    <t>10gksten@gmail.com</t>
  </si>
  <si>
    <t>Business/Systems Analyst 1</t>
  </si>
  <si>
    <t>ASIPL4114</t>
  </si>
  <si>
    <t>Mamatha Eliz Feona Gopi</t>
  </si>
  <si>
    <t>mamathafeona@gmail.com</t>
  </si>
  <si>
    <t>ASIPL4115</t>
  </si>
  <si>
    <t>Aaliya Sheikh</t>
  </si>
  <si>
    <t>aaliyasheikh20@gmail.com</t>
  </si>
  <si>
    <t>Lead Designer</t>
  </si>
  <si>
    <t>ASIPL4116</t>
  </si>
  <si>
    <t>Sompa Kundu</t>
  </si>
  <si>
    <t>sompa.kundu@aditiconsulting.com</t>
  </si>
  <si>
    <t>ASIPL4117</t>
  </si>
  <si>
    <t>Gaurav Mahajan</t>
  </si>
  <si>
    <t>gaurav.mahajan@aditiconsulting.com</t>
  </si>
  <si>
    <t>Assistant Vice President - Engineering</t>
  </si>
  <si>
    <t>ASIPL4121</t>
  </si>
  <si>
    <t>Murugeswari S</t>
  </si>
  <si>
    <t>murugeswari.sraj@gmail.com</t>
  </si>
  <si>
    <t>ASIPL4122</t>
  </si>
  <si>
    <t>Harshawardhan Mangesh Gokhale</t>
  </si>
  <si>
    <t>harshawardhangokhale271094@gmail.com</t>
  </si>
  <si>
    <t>ASIPL4123</t>
  </si>
  <si>
    <t>Shaik Mudassir Ahmed</t>
  </si>
  <si>
    <t>shaik.mudassir@aditiconsulting.com</t>
  </si>
  <si>
    <t>Business System Analyst</t>
  </si>
  <si>
    <t>ASIPL4125</t>
  </si>
  <si>
    <t>Shriyankshi Gupta</t>
  </si>
  <si>
    <t>shriyankshi2357@gmail.com</t>
  </si>
  <si>
    <t>SDE II</t>
  </si>
  <si>
    <t>ASIPL4127</t>
  </si>
  <si>
    <t>Bimal Singhi</t>
  </si>
  <si>
    <t>bimal.singhi07@gmail.com</t>
  </si>
  <si>
    <t>Senior Administration Executive</t>
  </si>
  <si>
    <t>ASIPL4128</t>
  </si>
  <si>
    <t>Venkatraman Kaliyaperumal</t>
  </si>
  <si>
    <t>akvenkat21@gmail.com</t>
  </si>
  <si>
    <t>ASIPL4129</t>
  </si>
  <si>
    <t>Kumar Palani</t>
  </si>
  <si>
    <t>shilpa_pk@yahoo.com</t>
  </si>
  <si>
    <t>Assistant Manager-Administration</t>
  </si>
  <si>
    <t>ASIPL4130</t>
  </si>
  <si>
    <t>Pandiyan V</t>
  </si>
  <si>
    <t>pandiyankannan@gmail.com</t>
  </si>
  <si>
    <t>ASIPL4131</t>
  </si>
  <si>
    <t>Kalpattu Purushothaman Sreedhar</t>
  </si>
  <si>
    <t>sreedhar.kp1@gmail.com</t>
  </si>
  <si>
    <t>Deputy Manager - Administration</t>
  </si>
  <si>
    <t>ASIPL4132</t>
  </si>
  <si>
    <t>Umashankar Subramaniam</t>
  </si>
  <si>
    <t>umashankar151171@gmail.com</t>
  </si>
  <si>
    <t>ASIPL4135</t>
  </si>
  <si>
    <t>Sathish Rajendran</t>
  </si>
  <si>
    <t>sathish.rajendran@aditiconsulting.com</t>
  </si>
  <si>
    <t>ASIPL4136</t>
  </si>
  <si>
    <t>Ruso Selvin Brabhu Prakasam</t>
  </si>
  <si>
    <t>rusocsts@gmail.com</t>
  </si>
  <si>
    <t>Creative Content Designer</t>
  </si>
  <si>
    <t>ASIPL4139</t>
  </si>
  <si>
    <t>Kunal Kumar</t>
  </si>
  <si>
    <t>kunal.bancmate@gmail.com</t>
  </si>
  <si>
    <t>Mumbai</t>
  </si>
  <si>
    <t>Implementation Manager</t>
  </si>
  <si>
    <t>ASIPL4141</t>
  </si>
  <si>
    <t>Rajath S Raghav</t>
  </si>
  <si>
    <t>rajath.s@aditiconsulting.com</t>
  </si>
  <si>
    <t>ASIPL4142</t>
  </si>
  <si>
    <t>Sydam Lohith</t>
  </si>
  <si>
    <t>sydam.lohith@aditiconsulting.com</t>
  </si>
  <si>
    <t>ASIPL4145</t>
  </si>
  <si>
    <t>Ajay Raosaheb Karbhari</t>
  </si>
  <si>
    <t>ajaykarbhari@gmail.com</t>
  </si>
  <si>
    <t>ASIPL4146</t>
  </si>
  <si>
    <t>Bhimashankar .</t>
  </si>
  <si>
    <t>bhimashankar@aditiconsulting.com</t>
  </si>
  <si>
    <t>Unit Test Engineer</t>
  </si>
  <si>
    <t>ASIPL4147</t>
  </si>
  <si>
    <t>Saranya A</t>
  </si>
  <si>
    <t>saranya0314@outlook.com</t>
  </si>
  <si>
    <t>anushree.choudhary@aditiconsulting.com</t>
  </si>
  <si>
    <t>ASIPL4151</t>
  </si>
  <si>
    <t>Srimannarayana Gurram</t>
  </si>
  <si>
    <t>srimannarayana.gurram@aditiconsulting.com</t>
  </si>
  <si>
    <t>ADX Developer</t>
  </si>
  <si>
    <t>ASIPL4152</t>
  </si>
  <si>
    <t>Krishnan R V</t>
  </si>
  <si>
    <t>krishna.rv05@gmail.com</t>
  </si>
  <si>
    <t>P2P Transformation</t>
  </si>
  <si>
    <t>ASIPL4153</t>
  </si>
  <si>
    <t>Agrapu Simhachalam Naidu</t>
  </si>
  <si>
    <t>simhaagrapu2004@gmail.com</t>
  </si>
  <si>
    <t>ASIPL4155</t>
  </si>
  <si>
    <t>Nuhman C A</t>
  </si>
  <si>
    <t>nuhman4202@gmail.com</t>
  </si>
  <si>
    <t>Reporting Analyst</t>
  </si>
  <si>
    <t>ASIPL4156</t>
  </si>
  <si>
    <t>Aravind Anjanee  RADJAGOBAL</t>
  </si>
  <si>
    <t>aravind.anjanee@aditiconsulting.com</t>
  </si>
  <si>
    <t>Tech Pub Engineer</t>
  </si>
  <si>
    <t>ASIPL4159</t>
  </si>
  <si>
    <t>Anureet Kaur</t>
  </si>
  <si>
    <t>anureetkaur1691@gmail.com</t>
  </si>
  <si>
    <t>Financial Analyst</t>
  </si>
  <si>
    <t>ASIPL4161</t>
  </si>
  <si>
    <t>Achsah Mary Marks</t>
  </si>
  <si>
    <t>achsah.mary@aditiconsulting.com</t>
  </si>
  <si>
    <t>ASIPL4162</t>
  </si>
  <si>
    <t>Sudarshan Balakrishnan</t>
  </si>
  <si>
    <t>sudarshan.balakrishnan@gmail.com</t>
  </si>
  <si>
    <t>Senior Business Program Manager</t>
  </si>
  <si>
    <t>ASIPL4163</t>
  </si>
  <si>
    <t>Manjunath B</t>
  </si>
  <si>
    <t>bandarumanju07@gmail.com</t>
  </si>
  <si>
    <t>ASIPL4164</t>
  </si>
  <si>
    <t>Veeraiahgari Vandana</t>
  </si>
  <si>
    <t>vandanaharinath96@gmail.com</t>
  </si>
  <si>
    <t>System Engineer</t>
  </si>
  <si>
    <t>ASIPL4166</t>
  </si>
  <si>
    <t>Arshil Azeem Khan</t>
  </si>
  <si>
    <t>arshil.khan@aditiconsulting.com</t>
  </si>
  <si>
    <t>ASIPL4167</t>
  </si>
  <si>
    <t>Dhanush N</t>
  </si>
  <si>
    <t>dhanush.n@aditiconsulting.com</t>
  </si>
  <si>
    <t>ASIPL4170</t>
  </si>
  <si>
    <t>Chiranjeevi Ramamurthy</t>
  </si>
  <si>
    <t>chiranram7@live.com</t>
  </si>
  <si>
    <t>ASIPL4171</t>
  </si>
  <si>
    <t>Harshitha B M</t>
  </si>
  <si>
    <t>harshitha.bm88@gmail.com</t>
  </si>
  <si>
    <t>Finance Analyst L6</t>
  </si>
  <si>
    <t>ASIPL4172</t>
  </si>
  <si>
    <t>Akash Deep Saha</t>
  </si>
  <si>
    <t>akashdeepsaha03@gmail.com</t>
  </si>
  <si>
    <t>ASIPL4173</t>
  </si>
  <si>
    <t>Kiran B N</t>
  </si>
  <si>
    <t>kiran.bn@aditiconsulting.com</t>
  </si>
  <si>
    <t>ASIPL4174</t>
  </si>
  <si>
    <t>Ujjwal Gupta</t>
  </si>
  <si>
    <t>ujjwalg36@gmail.com</t>
  </si>
  <si>
    <t>PepsiCo</t>
  </si>
  <si>
    <t>Senior Ansible / Terraform Automation Engineer</t>
  </si>
  <si>
    <t>ASIPL4175</t>
  </si>
  <si>
    <t>Awinashi Singh</t>
  </si>
  <si>
    <t>awni27@gmail.com</t>
  </si>
  <si>
    <t>Senior Communication Manager</t>
  </si>
  <si>
    <t>ASIPL4179</t>
  </si>
  <si>
    <t>Twara Yagnesh Mehta</t>
  </si>
  <si>
    <t>twara.ymehta@gmail.com</t>
  </si>
  <si>
    <t>Content Manager</t>
  </si>
  <si>
    <t>ASIPL4180</t>
  </si>
  <si>
    <t>Girish Humnabade</t>
  </si>
  <si>
    <t>girish.humnabade@aditiconsulting.com</t>
  </si>
  <si>
    <t>Senior Data Analytics Engineer</t>
  </si>
  <si>
    <t>ASIPL4181</t>
  </si>
  <si>
    <t>Jeevankumar A S</t>
  </si>
  <si>
    <t>jeevankumar.as@aditiconsulting.com</t>
  </si>
  <si>
    <t>ASIPL4183</t>
  </si>
  <si>
    <t>Sibi VC</t>
  </si>
  <si>
    <t>sibivc.careers@gmail.com</t>
  </si>
  <si>
    <t>HR Specialist</t>
  </si>
  <si>
    <t>ASIPL4184</t>
  </si>
  <si>
    <t>Sanjana K</t>
  </si>
  <si>
    <t>sanjanak7295@gmail.com</t>
  </si>
  <si>
    <t>Support Engineer |||</t>
  </si>
  <si>
    <t>ASIPL4186</t>
  </si>
  <si>
    <t>Bandhavya C S</t>
  </si>
  <si>
    <t>bandhavya.cs@aditiconsulting.com</t>
  </si>
  <si>
    <t>Validation Engineer</t>
  </si>
  <si>
    <t>ASIPL4187</t>
  </si>
  <si>
    <t>Deeksha Nithyananda Poojary</t>
  </si>
  <si>
    <t>deeksha.poojary@aditiconsulting.com</t>
  </si>
  <si>
    <t>ASIPL4188</t>
  </si>
  <si>
    <t>Murugesan Sekar</t>
  </si>
  <si>
    <t>murugesan84@gmail.com</t>
  </si>
  <si>
    <t>Senior Technical Support</t>
  </si>
  <si>
    <t>ASIPL4191</t>
  </si>
  <si>
    <t>Lakesh Shekhar Biyala</t>
  </si>
  <si>
    <t>lsbiyala@gmail.com</t>
  </si>
  <si>
    <t>Senior Software Developer</t>
  </si>
  <si>
    <t>ASIPL4193</t>
  </si>
  <si>
    <t>Preethi Merline Velangani Anthony</t>
  </si>
  <si>
    <t>anthony.velangani@aditiconsulting.com</t>
  </si>
  <si>
    <t>ASIPL4194</t>
  </si>
  <si>
    <t>Uma Sankar Sahu</t>
  </si>
  <si>
    <t>umasahu63@yahoo.com</t>
  </si>
  <si>
    <t>Senior DevOps Engineer-II</t>
  </si>
  <si>
    <t>ASIPL4195</t>
  </si>
  <si>
    <t>Kinjal Ajitkumar Solanki</t>
  </si>
  <si>
    <t>solankikinjal157@gmail.com</t>
  </si>
  <si>
    <t>ASIPL4196</t>
  </si>
  <si>
    <t>Rayaprolu Kanaka Durga Sunitha</t>
  </si>
  <si>
    <t>sunitha.rayaprolu2@gmail.com</t>
  </si>
  <si>
    <t>Program Manager</t>
  </si>
  <si>
    <t>ASIPL4200</t>
  </si>
  <si>
    <t>James Nitin Z</t>
  </si>
  <si>
    <t>jamestime0001@gmail.com</t>
  </si>
  <si>
    <t>Manual Testing</t>
  </si>
  <si>
    <t>ASIPL4201</t>
  </si>
  <si>
    <t>Sanjana B Srinath</t>
  </si>
  <si>
    <t>sanjana.b@aditiconsulting.com</t>
  </si>
  <si>
    <t>ASIPL4202</t>
  </si>
  <si>
    <t>Ramavath Madhunaik</t>
  </si>
  <si>
    <t>ramavath.naik@aditiconsulting.com</t>
  </si>
  <si>
    <t>ASIPL4205</t>
  </si>
  <si>
    <t>Pavithra Ganga</t>
  </si>
  <si>
    <t>pavithra.ganga@aditiconsulting.com</t>
  </si>
  <si>
    <t>ASIPL4206</t>
  </si>
  <si>
    <t>Darshan P</t>
  </si>
  <si>
    <t>darshan.p@aditiconsulting.com</t>
  </si>
  <si>
    <t>Senior Perl Developer</t>
  </si>
  <si>
    <t>ASIPL4207</t>
  </si>
  <si>
    <t>Akash Dohare</t>
  </si>
  <si>
    <t>akash1x25@gmail.com</t>
  </si>
  <si>
    <t>ASIPL4208</t>
  </si>
  <si>
    <t>Doddala Pavani</t>
  </si>
  <si>
    <t>doddala.pavani@aditiconsulting.com</t>
  </si>
  <si>
    <t>ASIPL4209</t>
  </si>
  <si>
    <t>K P Prasanth</t>
  </si>
  <si>
    <t>prasanth.kp@aditiconsulting.com</t>
  </si>
  <si>
    <t>Senior Specialist – IndiaTod Payroll</t>
  </si>
  <si>
    <t>ASIPL4210</t>
  </si>
  <si>
    <t>Kumari Ayushi</t>
  </si>
  <si>
    <t>ayushi.kumari@aditiconsulting.com</t>
  </si>
  <si>
    <t>ASIPL4211</t>
  </si>
  <si>
    <t>Sindhu Vijayan</t>
  </si>
  <si>
    <t>sindhujavijayan.97@gmail.com</t>
  </si>
  <si>
    <t>An'yst, Manual Testing</t>
  </si>
  <si>
    <t>ASIPL4215</t>
  </si>
  <si>
    <t>Sahil Kumar</t>
  </si>
  <si>
    <t>sahil.kumar@aditiconsulting.com</t>
  </si>
  <si>
    <t>ASIPL4219</t>
  </si>
  <si>
    <t>Veeresh Balappa Ganachari</t>
  </si>
  <si>
    <t>veeresh.balappa@aditiconsulting.com</t>
  </si>
  <si>
    <t>ASIPL4220</t>
  </si>
  <si>
    <t>Abhishek M S</t>
  </si>
  <si>
    <t>abhishek.ms@aditiconsulting.com</t>
  </si>
  <si>
    <t>Principal Account Manager</t>
  </si>
  <si>
    <t>ASIPL4222</t>
  </si>
  <si>
    <t>Jananee V</t>
  </si>
  <si>
    <t>jananee.v@aditiconsulting.com</t>
  </si>
  <si>
    <t>ASIPL4224</t>
  </si>
  <si>
    <t>Diksha .</t>
  </si>
  <si>
    <t>dikshasinha6666@gmail.com</t>
  </si>
  <si>
    <t>Business Analyst L5</t>
  </si>
  <si>
    <t>ASIPL4225</t>
  </si>
  <si>
    <t>K Darshan Rao</t>
  </si>
  <si>
    <t>darshanbablu007@gmail.com</t>
  </si>
  <si>
    <t>An'yst - Client Service</t>
  </si>
  <si>
    <t>ASIPL4227</t>
  </si>
  <si>
    <t>Kolavinni Prathiba</t>
  </si>
  <si>
    <t>kolavinniprathiba@gmail.com</t>
  </si>
  <si>
    <t>Finance Support</t>
  </si>
  <si>
    <t>ASIPL4228</t>
  </si>
  <si>
    <t>Srilekha Awasthi</t>
  </si>
  <si>
    <t>srilekha.awasthi@aditiconsulting.com</t>
  </si>
  <si>
    <t>ASIPL4229</t>
  </si>
  <si>
    <t>Swati</t>
  </si>
  <si>
    <t>swati@aditiconsulting.com</t>
  </si>
  <si>
    <t>ASIPL4230</t>
  </si>
  <si>
    <t>N Prasoon Murthy</t>
  </si>
  <si>
    <t>prasoon.murthy@aditiconsulting.com</t>
  </si>
  <si>
    <t>ASIPL4231</t>
  </si>
  <si>
    <t>Chitrapu Jaya Sai Lakshmi</t>
  </si>
  <si>
    <t>chitrapu.lakshmi@aditiconsulting.com</t>
  </si>
  <si>
    <t>ASIPL4232</t>
  </si>
  <si>
    <t>Preethi V</t>
  </si>
  <si>
    <t>preethibvm@gmail.com</t>
  </si>
  <si>
    <t>Senior HR</t>
  </si>
  <si>
    <t>ASIPL4234</t>
  </si>
  <si>
    <t>Kumari Mushkan</t>
  </si>
  <si>
    <t>mushkan.kumari@aditiconsulting.com</t>
  </si>
  <si>
    <t>AI Engineer</t>
  </si>
  <si>
    <t>ASIPL4235</t>
  </si>
  <si>
    <t>Shantanu Pranab Kar</t>
  </si>
  <si>
    <t>shantanu.pranab@aditiconsulting.com</t>
  </si>
  <si>
    <t>Senior Embedded Software Developer</t>
  </si>
  <si>
    <t>ASIPL4236</t>
  </si>
  <si>
    <t>Priyanshu Dayal</t>
  </si>
  <si>
    <t>priyanshu.dayal@aditiconsulting.com</t>
  </si>
  <si>
    <t>LLM RAG Pipeline Engineer</t>
  </si>
  <si>
    <t>ASIPL4237</t>
  </si>
  <si>
    <t>Sankaranarayanan Balakumar</t>
  </si>
  <si>
    <t>shanku003@gmail.com</t>
  </si>
  <si>
    <t>Senior Program Manager</t>
  </si>
  <si>
    <t>ASIPL4238</t>
  </si>
  <si>
    <t>Megesh Saravanababu</t>
  </si>
  <si>
    <t>smmegesh2017@gmail.com</t>
  </si>
  <si>
    <t>Condition Monitoring Analyst</t>
  </si>
  <si>
    <t>ASIPL4239</t>
  </si>
  <si>
    <t>Varun Narayanan</t>
  </si>
  <si>
    <t>varunnarayanan.ind@gmail.com</t>
  </si>
  <si>
    <t>ASIPL4240</t>
  </si>
  <si>
    <t>R S Raja Vegneshwar Selvaraj</t>
  </si>
  <si>
    <t>rajavegneshwar@gmail.com</t>
  </si>
  <si>
    <t>ASIPL4241</t>
  </si>
  <si>
    <t>Gowri Shankar S</t>
  </si>
  <si>
    <t>shankarsekar1711@gmail.com</t>
  </si>
  <si>
    <t>Big Data Developer</t>
  </si>
  <si>
    <t>ASIPL4242</t>
  </si>
  <si>
    <t>Vignesh R</t>
  </si>
  <si>
    <t>mailtoavignesh@gmail.com</t>
  </si>
  <si>
    <t>An'yst, Automated Testing</t>
  </si>
  <si>
    <t>ASIPL4243</t>
  </si>
  <si>
    <t>Arjit Keshav Yadav</t>
  </si>
  <si>
    <t>arjitsingh.yadav@aditiconsulting.com</t>
  </si>
  <si>
    <t>ASIPL4246</t>
  </si>
  <si>
    <t>Beauty Singh</t>
  </si>
  <si>
    <t>beauty.singh@aditiconsulting.com</t>
  </si>
  <si>
    <t>ASIPL4248</t>
  </si>
  <si>
    <t>Leyo Babu Thomas</t>
  </si>
  <si>
    <t>leyobabu@gmail.com</t>
  </si>
  <si>
    <t>Senior iOS Developer</t>
  </si>
  <si>
    <t>ASIPL4249</t>
  </si>
  <si>
    <t>Bikram Kumar Nayak</t>
  </si>
  <si>
    <t>bikram91.net@gmail.com</t>
  </si>
  <si>
    <t>Business Analyst</t>
  </si>
  <si>
    <t>ASIPL4250</t>
  </si>
  <si>
    <t>Noella Ferrao</t>
  </si>
  <si>
    <t>ferraonoel@gmail.com</t>
  </si>
  <si>
    <t>Program Manager Non Tech-IV</t>
  </si>
  <si>
    <t>ASIPL4251</t>
  </si>
  <si>
    <t>Shubham Sharma</t>
  </si>
  <si>
    <t>heyshubham69@gmail.com</t>
  </si>
  <si>
    <t>Android Developer III</t>
  </si>
  <si>
    <t>ASIPL4252</t>
  </si>
  <si>
    <t>Nishanth N</t>
  </si>
  <si>
    <t>nishanthshetty1995@gmail.com</t>
  </si>
  <si>
    <t>Pricing Analyst L6</t>
  </si>
  <si>
    <t>ASIPL4253</t>
  </si>
  <si>
    <t>Anjali Bhardwaj</t>
  </si>
  <si>
    <t>anjali.bhardwaj@aditiconsulting.com</t>
  </si>
  <si>
    <t>Learning &amp; Development</t>
  </si>
  <si>
    <t>Lead - Learning &amp; Development</t>
  </si>
  <si>
    <t>ASIPL4255</t>
  </si>
  <si>
    <t>Mayank Chandan</t>
  </si>
  <si>
    <t>mayank.chandan@aditiconsulting.com</t>
  </si>
  <si>
    <t>Senior Cloud Security Architect - AI &amp; Data Security</t>
  </si>
  <si>
    <t>ASIPL4256</t>
  </si>
  <si>
    <t>Samruddhi Manish Bharadwaj</t>
  </si>
  <si>
    <t>samruddhi.bharadwaj@aditiconsulting.com</t>
  </si>
  <si>
    <t>ASIPL4257</t>
  </si>
  <si>
    <t>Simran Philomena Farrer</t>
  </si>
  <si>
    <t>simran.philomena@aditiconsulting.com</t>
  </si>
  <si>
    <t>Specialist - People &amp; Culture</t>
  </si>
  <si>
    <t>ASIPL4259</t>
  </si>
  <si>
    <t>Sunaz Afza</t>
  </si>
  <si>
    <t>sunezafza0@gmail.com</t>
  </si>
  <si>
    <t>Catalog Specialist</t>
  </si>
  <si>
    <t>ASIPL4260</t>
  </si>
  <si>
    <t>Ramya B</t>
  </si>
  <si>
    <t>sairamya1027@gmail.com</t>
  </si>
  <si>
    <t>ASIPL4262</t>
  </si>
  <si>
    <t>Sanskar Pathak</t>
  </si>
  <si>
    <t>sanskarpathak786@gmail.com</t>
  </si>
  <si>
    <t>ASIPL4263</t>
  </si>
  <si>
    <t>Venkatesh Samudrala</t>
  </si>
  <si>
    <t>venkatesh.samudrala@aditiconsulting.com</t>
  </si>
  <si>
    <t>Operations Engineer – L3 Routing Operations Support</t>
  </si>
  <si>
    <t>ASIPL4264</t>
  </si>
  <si>
    <t>Akash Kumar</t>
  </si>
  <si>
    <t>akashk82701@gmail.com</t>
  </si>
  <si>
    <t>ASIPL4265</t>
  </si>
  <si>
    <t>Sivitha .</t>
  </si>
  <si>
    <t>sivithadeiveegan10@gmail.com</t>
  </si>
  <si>
    <t>ASIPL4266</t>
  </si>
  <si>
    <t>Samuvel J</t>
  </si>
  <si>
    <t>samuvelj13@gmail.com</t>
  </si>
  <si>
    <t>ASIPL4267</t>
  </si>
  <si>
    <t>Mahek Srivastava</t>
  </si>
  <si>
    <t>srivastavamahek81@gmail.com</t>
  </si>
  <si>
    <t>Gurgaon</t>
  </si>
  <si>
    <t>Business Analyst I - Level 9</t>
  </si>
  <si>
    <t>ASIPL4268</t>
  </si>
  <si>
    <t>Roy Sheran Michael Sahaya Rex</t>
  </si>
  <si>
    <t>sheran27christ@gmail.com</t>
  </si>
  <si>
    <t>HR Operations Associate</t>
  </si>
  <si>
    <t>ASIPL4270</t>
  </si>
  <si>
    <t>Cheemalapati Pooja</t>
  </si>
  <si>
    <t>cpoojareddy33@gmail.com</t>
  </si>
  <si>
    <t>Exec - Client Care Ctr Service</t>
  </si>
  <si>
    <t>ASIPL4272</t>
  </si>
  <si>
    <t>Suyash Deepak Kadam</t>
  </si>
  <si>
    <t>suyashkadam2025@gmail.com</t>
  </si>
  <si>
    <t>ASIPL4274</t>
  </si>
  <si>
    <t>Shweta Netalkar</t>
  </si>
  <si>
    <t>shweta.netalkar1998@gmail.com</t>
  </si>
  <si>
    <t>Exec, Client Care C tr Service</t>
  </si>
  <si>
    <t>ASIPL4276</t>
  </si>
  <si>
    <t>Shaikh Mujtaba Shaikh Shakeeluddin</t>
  </si>
  <si>
    <t>mujtaba.shaikh86@gmail.com</t>
  </si>
  <si>
    <t>Application Developer 4</t>
  </si>
  <si>
    <t>ASIPL4277</t>
  </si>
  <si>
    <t>A Eunice Jemima</t>
  </si>
  <si>
    <t>eunicejem7@gmail.com</t>
  </si>
  <si>
    <t>Business Administrative Assistant</t>
  </si>
  <si>
    <t>ASIPL4278</t>
  </si>
  <si>
    <t>Yoganand .</t>
  </si>
  <si>
    <t>yoganand_19_19@yahoo.com</t>
  </si>
  <si>
    <t>Technical Service Specialist IV</t>
  </si>
  <si>
    <t>ASIPL4280</t>
  </si>
  <si>
    <t>Pooja Rai</t>
  </si>
  <si>
    <t>poojarai8197@gmail.com</t>
  </si>
  <si>
    <t>ASIPL4282</t>
  </si>
  <si>
    <t>Neethu N</t>
  </si>
  <si>
    <t>neethuseervi252@gmail.com</t>
  </si>
  <si>
    <t>ASIPL4286</t>
  </si>
  <si>
    <t>Pavithra S</t>
  </si>
  <si>
    <t>pavithra.s@aditiconsulting.com</t>
  </si>
  <si>
    <t>ASIPL4287</t>
  </si>
  <si>
    <t>Latha J</t>
  </si>
  <si>
    <t>latha.j@aditiconsulting.com</t>
  </si>
  <si>
    <t>ASIPL4288</t>
  </si>
  <si>
    <t>John Princeton Nirmal Raj Antony Prabhu</t>
  </si>
  <si>
    <t>john.princeton@aditiconsulting.com</t>
  </si>
  <si>
    <t>ASIPL4289</t>
  </si>
  <si>
    <t>Deepak Senthil Kumar</t>
  </si>
  <si>
    <t>deepaksenthilkumar2002@gmail.com</t>
  </si>
  <si>
    <t>ASIPL4290</t>
  </si>
  <si>
    <t>Sridhar D R</t>
  </si>
  <si>
    <t>sridhardr26@gmail.com</t>
  </si>
  <si>
    <t>Software Engineer II</t>
  </si>
  <si>
    <t>ASIPL4291</t>
  </si>
  <si>
    <t>Ankitha S T</t>
  </si>
  <si>
    <t>ankithast09@gmail.com</t>
  </si>
  <si>
    <t>Software Engineer Level III</t>
  </si>
  <si>
    <t>ASIPL4292</t>
  </si>
  <si>
    <t>S Amrithavalli</t>
  </si>
  <si>
    <t>amrithavalli.99@gmail.com</t>
  </si>
  <si>
    <t>Finance Analyst</t>
  </si>
  <si>
    <t>ASIPL4293</t>
  </si>
  <si>
    <t>Shashwathi N S</t>
  </si>
  <si>
    <t>shashwathi.ns@aditiconsulting.com</t>
  </si>
  <si>
    <t>ASIPL4294</t>
  </si>
  <si>
    <t>Ambati Vaishnavi</t>
  </si>
  <si>
    <t>ambativaishnavi2003@gmail.com</t>
  </si>
  <si>
    <t>ASIPL4295</t>
  </si>
  <si>
    <t>Aiswarya SK</t>
  </si>
  <si>
    <t>skaiswarya12@gmail.com</t>
  </si>
  <si>
    <t>ASIPL4296</t>
  </si>
  <si>
    <t>Geethanjali L</t>
  </si>
  <si>
    <t>geeth6934@gmail.com</t>
  </si>
  <si>
    <t>ASIPL4298</t>
  </si>
  <si>
    <t>Abdul Waheed</t>
  </si>
  <si>
    <t>abdulwaheed.213290@gmail.com</t>
  </si>
  <si>
    <t>ASIPL4299</t>
  </si>
  <si>
    <t>Bathineedi Meghana</t>
  </si>
  <si>
    <t>bathineedimeghana317@gmail.com</t>
  </si>
  <si>
    <t>ASIPL4300</t>
  </si>
  <si>
    <t>Pranav Nair</t>
  </si>
  <si>
    <t>pranavnair877@gmail.com</t>
  </si>
  <si>
    <t>ESG Analyst</t>
  </si>
  <si>
    <t>ASIPL4301</t>
  </si>
  <si>
    <t>Vishrut Balakrishnan</t>
  </si>
  <si>
    <t>bkvishrut.19@gmail.com</t>
  </si>
  <si>
    <t>Spl'st, Change Delivery</t>
  </si>
  <si>
    <t>ASIPL4302</t>
  </si>
  <si>
    <t>Seema Alfred Fernandes</t>
  </si>
  <si>
    <t>seemafernandes2012@gmail.com</t>
  </si>
  <si>
    <t>ASIPL4303</t>
  </si>
  <si>
    <t>Preshit Mahadev Patil</t>
  </si>
  <si>
    <t>preshitpatil@gmail.com</t>
  </si>
  <si>
    <t>ASIPL4304</t>
  </si>
  <si>
    <t>Kutan Kumar Raja</t>
  </si>
  <si>
    <t>kumarrajakutan@gmail.com</t>
  </si>
  <si>
    <t>HR Assistant-II</t>
  </si>
  <si>
    <t>ASIPL4307</t>
  </si>
  <si>
    <t>Monika Kumari</t>
  </si>
  <si>
    <t>monikakumari2999@gmail.com</t>
  </si>
  <si>
    <t>AP Accounting Assistant I</t>
  </si>
  <si>
    <t>ASIPL4308</t>
  </si>
  <si>
    <t>Hanee P</t>
  </si>
  <si>
    <t>hanee8394@gmail.com</t>
  </si>
  <si>
    <t>ASIPL4309</t>
  </si>
  <si>
    <t>Lokesh S</t>
  </si>
  <si>
    <t>lokeshvaradhan97@gmail.com</t>
  </si>
  <si>
    <t>System Administrator-III</t>
  </si>
  <si>
    <t>ASIPL4310</t>
  </si>
  <si>
    <t>Shaik Abdur Rehman</t>
  </si>
  <si>
    <t>abdurrehmanshaikk@gmail.com</t>
  </si>
  <si>
    <t>likhithashri.s@aditiconsulting.com</t>
  </si>
  <si>
    <t>ASIPL4316</t>
  </si>
  <si>
    <t>Pritisha Satish Kolhe</t>
  </si>
  <si>
    <t>pritishakolhe2@gmail.com</t>
  </si>
  <si>
    <t>ASIPL4317</t>
  </si>
  <si>
    <t>Swati Hansda</t>
  </si>
  <si>
    <t>swatihansda17@gmail.com</t>
  </si>
  <si>
    <t>ASIPL4318</t>
  </si>
  <si>
    <t>Sameep Chaturvedi</t>
  </si>
  <si>
    <t>sameepchaturvedi5@gmail.com</t>
  </si>
  <si>
    <t>ASIPL4319</t>
  </si>
  <si>
    <t>Shreya Chakrapani</t>
  </si>
  <si>
    <t>shreya.chakrapani@aditiconsulting.com</t>
  </si>
  <si>
    <t>ASIPL4320</t>
  </si>
  <si>
    <t>Mudavath Rajeswari Bai</t>
  </si>
  <si>
    <t>mudavathrajibai2468@gmail.com</t>
  </si>
  <si>
    <t>ASIPL4324</t>
  </si>
  <si>
    <t>Shree Om Swamy</t>
  </si>
  <si>
    <t>shreeomswamy143@gmail.com</t>
  </si>
  <si>
    <t>ASIPL4325</t>
  </si>
  <si>
    <t>Rakshitha M</t>
  </si>
  <si>
    <t>rakshitharakshi024@gmail.com</t>
  </si>
  <si>
    <t>ASIPL4326</t>
  </si>
  <si>
    <t>Sajeeda Banu</t>
  </si>
  <si>
    <t>sajeedabanu72@gmail.com</t>
  </si>
  <si>
    <t>ASIPL4331</t>
  </si>
  <si>
    <t>Saicha Rukshar</t>
  </si>
  <si>
    <t>rukshar.saicha@aditiconsulting.com</t>
  </si>
  <si>
    <t>ASIPL4332</t>
  </si>
  <si>
    <t>Nidhi Jashwantbhai Patel</t>
  </si>
  <si>
    <t>nidhi.patel@aditiconsulting.com</t>
  </si>
  <si>
    <t>ASIPL4333</t>
  </si>
  <si>
    <t>A Devi Prasad</t>
  </si>
  <si>
    <t>devi.prasad@aditiconsulting.com</t>
  </si>
  <si>
    <t>ASIPL4334</t>
  </si>
  <si>
    <t>Shyam Sundar Swain</t>
  </si>
  <si>
    <t>shyam.sundar@aditiconsulting.com</t>
  </si>
  <si>
    <t>ASIPL4335</t>
  </si>
  <si>
    <t>Kakai Sreenivasulu</t>
  </si>
  <si>
    <t>sreenivasulu.kakai@aditiconsulting.com</t>
  </si>
  <si>
    <t>ASIPL4337</t>
  </si>
  <si>
    <t>K Buvaneshwar Goud</t>
  </si>
  <si>
    <t>buvaneshwar.goud@aditiconsulting.com</t>
  </si>
  <si>
    <t>Senior Power Platform Developer</t>
  </si>
  <si>
    <t>ASIPL4338</t>
  </si>
  <si>
    <t>Ashis Mohanty</t>
  </si>
  <si>
    <t>ashis.mohanty@aditiconsulting.com</t>
  </si>
  <si>
    <t>Senior COBOL Developer</t>
  </si>
  <si>
    <t>ASIPL4341</t>
  </si>
  <si>
    <t>Saran S</t>
  </si>
  <si>
    <t>saran.s@aditiconsulting.com</t>
  </si>
  <si>
    <t>Senior Cybersecurity Engineer</t>
  </si>
  <si>
    <t>ASIPL4343</t>
  </si>
  <si>
    <t>Sreenivasulu Mathangi</t>
  </si>
  <si>
    <t>msreenuv3@gmail.com</t>
  </si>
  <si>
    <t>Analyst/Developer - General 3</t>
  </si>
  <si>
    <t>ASIPL4344</t>
  </si>
  <si>
    <t>Sahana Thanthri</t>
  </si>
  <si>
    <t>sahanapritam15@gmail.com</t>
  </si>
  <si>
    <t>ASIPL4345</t>
  </si>
  <si>
    <t>Firdose Khanum</t>
  </si>
  <si>
    <t>firdosekhan28@gmail.com</t>
  </si>
  <si>
    <t>ASIPL4346</t>
  </si>
  <si>
    <t>Basani Sruthi</t>
  </si>
  <si>
    <t>srubasani@gmail.com</t>
  </si>
  <si>
    <t>Data Scientist II</t>
  </si>
  <si>
    <t>ASIPL4347</t>
  </si>
  <si>
    <t>Shailey Pradhan</t>
  </si>
  <si>
    <t>pradhanshailey10@gmail.com</t>
  </si>
  <si>
    <t>ASIPL4348</t>
  </si>
  <si>
    <t>Monnappa N</t>
  </si>
  <si>
    <t>monnappasonu1@gmail.com</t>
  </si>
  <si>
    <t>ASIPL4349</t>
  </si>
  <si>
    <t>Rego Rahul</t>
  </si>
  <si>
    <t>rahulrego7@gmail.com</t>
  </si>
  <si>
    <t>karthikeyan.m@aditiconsulting.com</t>
  </si>
  <si>
    <t>ASIPL4351</t>
  </si>
  <si>
    <t>Anitha S</t>
  </si>
  <si>
    <t>as5508411@gmail.com</t>
  </si>
  <si>
    <t>ASIPL4353</t>
  </si>
  <si>
    <t>Praveen B</t>
  </si>
  <si>
    <t>pravee1053@gmail.com</t>
  </si>
  <si>
    <t>ASIPL4354</t>
  </si>
  <si>
    <t>Vidyashree G K</t>
  </si>
  <si>
    <t>vidyashreegk2403@gmail.com</t>
  </si>
  <si>
    <t>ASIPL4355</t>
  </si>
  <si>
    <t>Shantanu Kumar</t>
  </si>
  <si>
    <t>shantanumehta77@gmail.com</t>
  </si>
  <si>
    <t>ASIPL4356</t>
  </si>
  <si>
    <t>Tapaswini Pati</t>
  </si>
  <si>
    <t>tapaswinipati.work@gmail.com</t>
  </si>
  <si>
    <t>ASIPL4357</t>
  </si>
  <si>
    <t>Binita Naik</t>
  </si>
  <si>
    <t>binitanaik943@gmail.com</t>
  </si>
  <si>
    <t>jay.prakash@aditiconsulting.com</t>
  </si>
  <si>
    <t>Head - People Department</t>
  </si>
  <si>
    <t>ASIPL4360</t>
  </si>
  <si>
    <t>Yagnesh Dilip Patel</t>
  </si>
  <si>
    <t>yagnesh.patel@aditiconsulting.com</t>
  </si>
  <si>
    <t>Application Developer</t>
  </si>
  <si>
    <t>ASIPL4361</t>
  </si>
  <si>
    <t>Satyarth Gaur</t>
  </si>
  <si>
    <t>satyarth.gaur@aditiconsulting.com</t>
  </si>
  <si>
    <t>ASIPL4362</t>
  </si>
  <si>
    <t>Arkaprava Ojha</t>
  </si>
  <si>
    <t>arkaprava.ojha@aditiconsulting.com</t>
  </si>
  <si>
    <t>ASIPL4363</t>
  </si>
  <si>
    <t>Srinath R</t>
  </si>
  <si>
    <t>srinathrajanikanth96@gmail.com</t>
  </si>
  <si>
    <t>ASIPL4364</t>
  </si>
  <si>
    <t>Rohit Rai</t>
  </si>
  <si>
    <t>rohitrai9050@gmail.com</t>
  </si>
  <si>
    <t>ASIPL4365</t>
  </si>
  <si>
    <t>Harish M</t>
  </si>
  <si>
    <t>harish6699@outlook.com</t>
  </si>
  <si>
    <t>Spl'st, Travel &amp; Expenses</t>
  </si>
  <si>
    <t>ASIPL4366</t>
  </si>
  <si>
    <t>Harshitha K M</t>
  </si>
  <si>
    <t>kalmathharshitha@gmail.com</t>
  </si>
  <si>
    <t>ASIPL4367</t>
  </si>
  <si>
    <t>Janani G</t>
  </si>
  <si>
    <t>jananigangadhar2@gmail.com</t>
  </si>
  <si>
    <t>ASIPL4368</t>
  </si>
  <si>
    <t>Nuthanaganti Rajesh</t>
  </si>
  <si>
    <t>nuthanagantirajesh@gmail.com</t>
  </si>
  <si>
    <t>ASIPL4369</t>
  </si>
  <si>
    <t>Barani Ramu</t>
  </si>
  <si>
    <t>baraniramu30@gmail.com</t>
  </si>
  <si>
    <t>ASIPL4371</t>
  </si>
  <si>
    <t>Mirza Hasan Ali Baig</t>
  </si>
  <si>
    <t>hasanali.mhab@gmail.com</t>
  </si>
  <si>
    <t>Accounting Assistant |</t>
  </si>
  <si>
    <t>ASIPL4373</t>
  </si>
  <si>
    <t>Kamalesh M</t>
  </si>
  <si>
    <t>kamalesh.m@aditiconsulting.com</t>
  </si>
  <si>
    <t>ASIPL4374</t>
  </si>
  <si>
    <t>David John</t>
  </si>
  <si>
    <t>david.john@aditiconsulting.com</t>
  </si>
  <si>
    <t>Network Operations Engineer</t>
  </si>
  <si>
    <t>ASIPL4375</t>
  </si>
  <si>
    <t>Bijay Kumar Behera</t>
  </si>
  <si>
    <t>bijay.kumar@aditiconsulting.com</t>
  </si>
  <si>
    <t>rajiv.warade@aditiconsulting.com</t>
  </si>
  <si>
    <t>Delivery Manager</t>
  </si>
  <si>
    <t>ASIPL4378</t>
  </si>
  <si>
    <t>Sumithra Murugan</t>
  </si>
  <si>
    <t>sumithramurugan1501@gmail.com</t>
  </si>
  <si>
    <t>ASIPL4379</t>
  </si>
  <si>
    <t>G Vivin Kamal</t>
  </si>
  <si>
    <t>vivinkamal007@gmail.com</t>
  </si>
  <si>
    <t>ASIPL4380</t>
  </si>
  <si>
    <t>Shreya Raj</t>
  </si>
  <si>
    <t>shreyaraj39128@gmail.com</t>
  </si>
  <si>
    <t>ASIPL4381</t>
  </si>
  <si>
    <t>Joshi Sony</t>
  </si>
  <si>
    <t>sonijoshi46@gmail.com</t>
  </si>
  <si>
    <t>ASIPL4382</t>
  </si>
  <si>
    <t>M Sahfiq Arshad</t>
  </si>
  <si>
    <t>shafiqarshad007@gmail.com</t>
  </si>
  <si>
    <t>ASIPL4383</t>
  </si>
  <si>
    <t>Suma Umesh</t>
  </si>
  <si>
    <t>suma1753manasa@gmail.com</t>
  </si>
  <si>
    <t>ASIPL4384</t>
  </si>
  <si>
    <t>Anudeep T N</t>
  </si>
  <si>
    <t>anudeeptn@gmail.com</t>
  </si>
  <si>
    <t>ASIPL4385</t>
  </si>
  <si>
    <t>Vismitha P C</t>
  </si>
  <si>
    <t>vismithapc@gmail.com</t>
  </si>
  <si>
    <t>ASIPL4386</t>
  </si>
  <si>
    <t>Surisetti Padma Swetha</t>
  </si>
  <si>
    <t>padmaswetha1908@gmail.com</t>
  </si>
  <si>
    <t>ASIPL4387</t>
  </si>
  <si>
    <t>Anurag Pradhan</t>
  </si>
  <si>
    <t>uahonour@icloud.com</t>
  </si>
  <si>
    <t>ASIPL4388</t>
  </si>
  <si>
    <t>Nithish S</t>
  </si>
  <si>
    <t>nithishg7102@gmail.com</t>
  </si>
  <si>
    <t>ASIPL4389</t>
  </si>
  <si>
    <t>Kodathala Hemanth Reddy</t>
  </si>
  <si>
    <t>hemanthreddy66991@gmail.com</t>
  </si>
  <si>
    <t>Java Back End Developer III</t>
  </si>
  <si>
    <t>ASIPL4390</t>
  </si>
  <si>
    <t>Vedant Sugandh</t>
  </si>
  <si>
    <t>vedantsugandh99@gmail.com</t>
  </si>
  <si>
    <t>Data Scientist</t>
  </si>
  <si>
    <t>ASIPL4391</t>
  </si>
  <si>
    <t>Allada Jaswanth Sai Kumar</t>
  </si>
  <si>
    <t>allada.kumar@aditiconsulting.com</t>
  </si>
  <si>
    <t>ASIPL4393</t>
  </si>
  <si>
    <t>Harshitha Yekdote</t>
  </si>
  <si>
    <t>harshi19245@gmail.com</t>
  </si>
  <si>
    <t>ASIPL4395</t>
  </si>
  <si>
    <t>Kadiveti Kavya</t>
  </si>
  <si>
    <t>kavyakadiveti765@gmail.com</t>
  </si>
  <si>
    <t>ASIPL4396</t>
  </si>
  <si>
    <t>Nandhitha S</t>
  </si>
  <si>
    <t>nandhithasankar1304@gmail.com</t>
  </si>
  <si>
    <t>ASIPL4397</t>
  </si>
  <si>
    <t>Renuka Arjun Dhule</t>
  </si>
  <si>
    <t>renukaadhule@gmail.com</t>
  </si>
  <si>
    <t>Catlog Specialist</t>
  </si>
  <si>
    <t>ASIPL4398</t>
  </si>
  <si>
    <t>Tanvir Singh Aneja</t>
  </si>
  <si>
    <t>tsaneja@gmail.com</t>
  </si>
  <si>
    <t>ASIPL4400</t>
  </si>
  <si>
    <t>Ashwathi Raghavan</t>
  </si>
  <si>
    <t>ashwathiraghavan18@gmail.com</t>
  </si>
  <si>
    <t>ASIPL4402</t>
  </si>
  <si>
    <t>Hemachand S S</t>
  </si>
  <si>
    <t>hemchandachar@gmail.com</t>
  </si>
  <si>
    <t>ASIPL4404</t>
  </si>
  <si>
    <t>Swapnil Devram Shinde</t>
  </si>
  <si>
    <t>shindeswap1997@gmail.com</t>
  </si>
  <si>
    <t>Data Center Technician II</t>
  </si>
  <si>
    <t>ASIPL4405</t>
  </si>
  <si>
    <t>Lincy V J</t>
  </si>
  <si>
    <t>lincyjoseph555@gmail.com</t>
  </si>
  <si>
    <t>ASIPL4406</t>
  </si>
  <si>
    <t>Malaka Sainath Reddy</t>
  </si>
  <si>
    <t>sainathreddymalaka@gmail.com</t>
  </si>
  <si>
    <t>ASIPL4407</t>
  </si>
  <si>
    <t>M Kavitha</t>
  </si>
  <si>
    <t>kavithaananth110880@gmail.com</t>
  </si>
  <si>
    <t>Manual Tester</t>
  </si>
  <si>
    <t>ASIPL4408</t>
  </si>
  <si>
    <t>Saloni .</t>
  </si>
  <si>
    <t>saloni17.in@gmail.com</t>
  </si>
  <si>
    <t>Full Stack Developer|Level III</t>
  </si>
  <si>
    <t>ASIPL4409</t>
  </si>
  <si>
    <t>Aliya Muskan</t>
  </si>
  <si>
    <t>aliya.muskan321@gmail.com</t>
  </si>
  <si>
    <t>ASIPL4410</t>
  </si>
  <si>
    <t>Shaik Sadiq</t>
  </si>
  <si>
    <t>shaiksadiq1113@gmail.com</t>
  </si>
  <si>
    <t>ASIPL4411</t>
  </si>
  <si>
    <t>Hemashree L</t>
  </si>
  <si>
    <t>hema.30199616@gmail.com</t>
  </si>
  <si>
    <t>ASIPL4412</t>
  </si>
  <si>
    <t>Souvik Rava</t>
  </si>
  <si>
    <t>souvikrava141@gmail.com</t>
  </si>
  <si>
    <t>ASIPL4413</t>
  </si>
  <si>
    <t>Arjun Mohan M R</t>
  </si>
  <si>
    <t>mohanmr.arjun@gmail.com</t>
  </si>
  <si>
    <t>ASIPL4414</t>
  </si>
  <si>
    <t>Vadla Neelaveni</t>
  </si>
  <si>
    <t>neelumokshita@gmail.com</t>
  </si>
  <si>
    <t>ASIPL4415</t>
  </si>
  <si>
    <t>Kashmira Aman</t>
  </si>
  <si>
    <t>kashmiralmg018@gmail.com</t>
  </si>
  <si>
    <t>ASIPL4416</t>
  </si>
  <si>
    <t>Swapnendu Mondal</t>
  </si>
  <si>
    <t>mondalswapnendu05@gmail.com</t>
  </si>
  <si>
    <t>ASIPL4417</t>
  </si>
  <si>
    <t>Nineyva Leneesh</t>
  </si>
  <si>
    <t>nineyva999@gmail.com</t>
  </si>
  <si>
    <t>ASIPL4418</t>
  </si>
  <si>
    <t>Neha C T</t>
  </si>
  <si>
    <t>nehact1503@gmail.com</t>
  </si>
  <si>
    <t>ASIPL4419</t>
  </si>
  <si>
    <t>Chintham Akash</t>
  </si>
  <si>
    <t>akashravich@gmail.com</t>
  </si>
  <si>
    <t>ASIPL4420</t>
  </si>
  <si>
    <t>Kusuma N A</t>
  </si>
  <si>
    <t>kusummmma8867@gmail.com</t>
  </si>
  <si>
    <t>ASIPL4421</t>
  </si>
  <si>
    <t>Anisha S</t>
  </si>
  <si>
    <t>anisha131201@gmail.com</t>
  </si>
  <si>
    <t>ASIPL4422</t>
  </si>
  <si>
    <t>R Karthik Kumar</t>
  </si>
  <si>
    <t>karthikkumar@engineer.com</t>
  </si>
  <si>
    <t>ASIPL4423</t>
  </si>
  <si>
    <t>Savitha Kulkarni</t>
  </si>
  <si>
    <t>savithadpk83@gmail.com</t>
  </si>
  <si>
    <t>ASIPL4424</t>
  </si>
  <si>
    <t>Usha Kumari</t>
  </si>
  <si>
    <t>ushakri.7006@gmail.com</t>
  </si>
  <si>
    <t>ASIPL4425</t>
  </si>
  <si>
    <t>B S Rakesh Kumar</t>
  </si>
  <si>
    <t>bs.rk.10@gmail.com</t>
  </si>
  <si>
    <t>Financial Analyst II</t>
  </si>
  <si>
    <t>ASIPL4427</t>
  </si>
  <si>
    <t>Bhanu Priya H</t>
  </si>
  <si>
    <t>bhanupriyah34@gmail.com</t>
  </si>
  <si>
    <t>ASIPL4428</t>
  </si>
  <si>
    <t>Pathan Suhel</t>
  </si>
  <si>
    <t>patansuhel900@gmail.com</t>
  </si>
  <si>
    <t>ASIPL4429</t>
  </si>
  <si>
    <t>Abhishek Devappa Acharya</t>
  </si>
  <si>
    <t>acharyaabhishek619@gmail.com</t>
  </si>
  <si>
    <t>ASIPL4430</t>
  </si>
  <si>
    <t>G Yuvaraj</t>
  </si>
  <si>
    <t>yuvarajgopal7895@gmail.com</t>
  </si>
  <si>
    <t>ASIPL4431</t>
  </si>
  <si>
    <t>Shipra Pandey</t>
  </si>
  <si>
    <t>shipra.pandey@aditiconsulting.com</t>
  </si>
  <si>
    <t>ASIPL4432</t>
  </si>
  <si>
    <t>Ganesan Jeyaraman</t>
  </si>
  <si>
    <t>ganesan.jeyaraman@aditiconsulting.com</t>
  </si>
  <si>
    <t>ASIPL4433</t>
  </si>
  <si>
    <t>Poorvi Gupta</t>
  </si>
  <si>
    <t>poorvigupta161@gmail.com</t>
  </si>
  <si>
    <t>ASIPL4434</t>
  </si>
  <si>
    <t>Jackson N</t>
  </si>
  <si>
    <t>jackson.nixon06@gmail.com</t>
  </si>
  <si>
    <t>ASIPL4435</t>
  </si>
  <si>
    <t>Amrith M</t>
  </si>
  <si>
    <t>amrithmohan95@gmail.com</t>
  </si>
  <si>
    <t>ASIPL4436</t>
  </si>
  <si>
    <t>Rahul Balmiki</t>
  </si>
  <si>
    <t>fssection.records@gmail.com</t>
  </si>
  <si>
    <t>ASIPL4437</t>
  </si>
  <si>
    <t>Souranil Majumdar</t>
  </si>
  <si>
    <t>nilmdar96@gmail.com</t>
  </si>
  <si>
    <t>ASIPL4438</t>
  </si>
  <si>
    <t>Murali Pandian</t>
  </si>
  <si>
    <t>kmurali376@gmail.com</t>
  </si>
  <si>
    <t>ASIPL4439</t>
  </si>
  <si>
    <t>Sunil H</t>
  </si>
  <si>
    <t>sunil1208seervi@gmail.com</t>
  </si>
  <si>
    <t>ASIPL4441</t>
  </si>
  <si>
    <t>Mayur Kumar Sharma</t>
  </si>
  <si>
    <t>mayursharma2122@gmail.com</t>
  </si>
  <si>
    <t>ASIPL4442</t>
  </si>
  <si>
    <t>Bharath Y</t>
  </si>
  <si>
    <t>bharathyellappa8@gmail.com</t>
  </si>
  <si>
    <t>ASIPL4443</t>
  </si>
  <si>
    <t>Ankala Sree Sai Rushil</t>
  </si>
  <si>
    <t>ankala.rushil@aditiconsulting.com</t>
  </si>
  <si>
    <t>Mechanical Test Engineer</t>
  </si>
  <si>
    <t>ASIPL4444</t>
  </si>
  <si>
    <t>Sagarika Rathore</t>
  </si>
  <si>
    <t>sagarikarathore1201@gmail.com</t>
  </si>
  <si>
    <t>Accounting Assistant - II</t>
  </si>
  <si>
    <t>ASIPL4445</t>
  </si>
  <si>
    <t>Sanjeev R R</t>
  </si>
  <si>
    <t>sanjeevrr1909@gmail.com</t>
  </si>
  <si>
    <t>An'yst, HR Ops</t>
  </si>
  <si>
    <t>ASIPL4446</t>
  </si>
  <si>
    <t>Ismail Basha</t>
  </si>
  <si>
    <t>tofu0810@outlook.com</t>
  </si>
  <si>
    <t>ASIPL4447</t>
  </si>
  <si>
    <t>Ragunathan P</t>
  </si>
  <si>
    <t>raguna81255@gmail.com</t>
  </si>
  <si>
    <t>ASIPL4448</t>
  </si>
  <si>
    <t>Rakesh P</t>
  </si>
  <si>
    <t>rakeshprabhudev16@gmail.com</t>
  </si>
  <si>
    <t>ASIPL4449</t>
  </si>
  <si>
    <t>Chirra Sumanth</t>
  </si>
  <si>
    <t>chirrasumanth37@gmail.com</t>
  </si>
  <si>
    <t>ASIPL4450</t>
  </si>
  <si>
    <t>Janhavi Mukesh Pawar</t>
  </si>
  <si>
    <t>jazzmpawar007@gmail.com</t>
  </si>
  <si>
    <t>ASIPL4451</t>
  </si>
  <si>
    <t>Thotamsetty Yashaswini</t>
  </si>
  <si>
    <t>thotamsettyyashaswini@gmail.com</t>
  </si>
  <si>
    <t>ASIPL4452</t>
  </si>
  <si>
    <t>Priyasha Kundu</t>
  </si>
  <si>
    <t>kundupriyasha2019@gmail.com</t>
  </si>
  <si>
    <t>ASIPL4453</t>
  </si>
  <si>
    <t>Sahil Tekwani</t>
  </si>
  <si>
    <t>sahiltekwani.srcc@gmail.com</t>
  </si>
  <si>
    <t>ASIPL4454</t>
  </si>
  <si>
    <t>Gaurav Singh</t>
  </si>
  <si>
    <t>gaurav.singh@aditiconsulting.com</t>
  </si>
  <si>
    <t>ASIPL4455</t>
  </si>
  <si>
    <t>Arika Umeshchandra Nautiyal</t>
  </si>
  <si>
    <t>arika.nautiyal@aditiconsulting.com</t>
  </si>
  <si>
    <t>ASIPL4456</t>
  </si>
  <si>
    <t>Vidhya sagar J</t>
  </si>
  <si>
    <t>sagar.jayaraj05@gmail.com</t>
  </si>
  <si>
    <t>Software Engineer 4</t>
  </si>
  <si>
    <t>ASIPL4457</t>
  </si>
  <si>
    <t>Shaik Ansar Ali Ahamed</t>
  </si>
  <si>
    <t>ansaraliahamed1569@gmail.com</t>
  </si>
  <si>
    <t>Software Engineer 3</t>
  </si>
  <si>
    <t>ASIPL4458</t>
  </si>
  <si>
    <t>Vineeth K</t>
  </si>
  <si>
    <t>vinnychris7@gmail.com</t>
  </si>
  <si>
    <t>ASIPL4459</t>
  </si>
  <si>
    <t>Chilakalapalli Janakiram</t>
  </si>
  <si>
    <t>chjanakiram6@gmail.com</t>
  </si>
  <si>
    <t>ASIPL4460</t>
  </si>
  <si>
    <t>Manmohini Manoranjan Roy</t>
  </si>
  <si>
    <t>roymanmohini1697@gmail.com</t>
  </si>
  <si>
    <t>ASIPL4461</t>
  </si>
  <si>
    <t>Thomas Padavupurackal Chacko</t>
  </si>
  <si>
    <t>thomas.chacko@aditiconsulting.com</t>
  </si>
  <si>
    <t>ASIPL4462</t>
  </si>
  <si>
    <t>Yashwini Arun</t>
  </si>
  <si>
    <t>yashwini.arun@aditiconsulting.com</t>
  </si>
  <si>
    <t>Junior AI Engineer</t>
  </si>
  <si>
    <t>ASIPL4463</t>
  </si>
  <si>
    <t>Uma R</t>
  </si>
  <si>
    <t>uma.r@aditiconsulting.com</t>
  </si>
  <si>
    <t>ASIPL4464</t>
  </si>
  <si>
    <t>Abishek M</t>
  </si>
  <si>
    <t>abishek.m@aditiconsulting.com</t>
  </si>
  <si>
    <t>Senior System Engineer</t>
  </si>
  <si>
    <t>ASIPL4465</t>
  </si>
  <si>
    <t>Sai Deepika Gadamsetty</t>
  </si>
  <si>
    <t>deepika.sai@aditiconsulting.com</t>
  </si>
  <si>
    <t>ASIPL4466</t>
  </si>
  <si>
    <t>Divya S Kumar</t>
  </si>
  <si>
    <t>divya.kumar@aditiconsulting.com</t>
  </si>
  <si>
    <t>ASIPL4467</t>
  </si>
  <si>
    <t>Pooja Kumari P</t>
  </si>
  <si>
    <t>pooja678vp@gmail.com</t>
  </si>
  <si>
    <t>ASIPL4468</t>
  </si>
  <si>
    <t>Vidya Rejith</t>
  </si>
  <si>
    <t>vidyarejith09@gmail.com</t>
  </si>
  <si>
    <t>Business Support and Admin - Admin Assistant 3</t>
  </si>
  <si>
    <t>ASIPL4469</t>
  </si>
  <si>
    <t>Mahesh Bhandigare Bajirao</t>
  </si>
  <si>
    <t>bhandigare.mahesh@aditiconsulting.com</t>
  </si>
  <si>
    <t>SME - AI Test Architect</t>
  </si>
  <si>
    <t>ASIPL4470</t>
  </si>
  <si>
    <t>Yokesh K R</t>
  </si>
  <si>
    <t>yokesh.r@aditiconsulting.com</t>
  </si>
  <si>
    <t>ASIPL4471</t>
  </si>
  <si>
    <t>Neha Vilas Vaghchaure</t>
  </si>
  <si>
    <t>neha.vaghchaure@aditiconsulting.com</t>
  </si>
  <si>
    <t>ASIPL4472</t>
  </si>
  <si>
    <t>Pragati Vijayrao Zoting</t>
  </si>
  <si>
    <t>pragatizoting15@gmail.com</t>
  </si>
  <si>
    <t>Quality Assurance Tech II</t>
  </si>
  <si>
    <t>ASIPL4473</t>
  </si>
  <si>
    <t>V Mithra</t>
  </si>
  <si>
    <t>mithra.v@aditiconsulting.com</t>
  </si>
  <si>
    <t>ASIPL4474</t>
  </si>
  <si>
    <t>P Karthik</t>
  </si>
  <si>
    <t>karthikpandi79@gmail.com</t>
  </si>
  <si>
    <t>DG Specialist - Data Privacy &amp; DS</t>
  </si>
  <si>
    <t>ASIPL4475</t>
  </si>
  <si>
    <t>Shaik Yaseen</t>
  </si>
  <si>
    <t>yaseensk2654@gmail.com</t>
  </si>
  <si>
    <t>ASIPL4476</t>
  </si>
  <si>
    <t>Nikitha Patil</t>
  </si>
  <si>
    <t>nikithapatil2790@gmail.com</t>
  </si>
  <si>
    <t>ASIPL4477</t>
  </si>
  <si>
    <t>Michael S A Gnaneshwar</t>
  </si>
  <si>
    <t>careersmikeg@gmail.com</t>
  </si>
  <si>
    <t>Program Manager I</t>
  </si>
  <si>
    <t>ASIPL4478</t>
  </si>
  <si>
    <t>Jayashri Ganesan</t>
  </si>
  <si>
    <t>dummy.sas@gmail.com</t>
  </si>
  <si>
    <t>Product Manager</t>
  </si>
  <si>
    <t>ASIPL4480</t>
  </si>
  <si>
    <t>Megha Shri</t>
  </si>
  <si>
    <t>megha.shri@aditiconsulting.com</t>
  </si>
  <si>
    <t>ASIPL4482</t>
  </si>
  <si>
    <t>Zeeshan Malik J M</t>
  </si>
  <si>
    <t>zeeshan.malik@aditiconsulting.com</t>
  </si>
  <si>
    <t>ASIPL4483</t>
  </si>
  <si>
    <t>J M Usharani</t>
  </si>
  <si>
    <t>jmushaa6@gmail.com</t>
  </si>
  <si>
    <t>ASIPL4484</t>
  </si>
  <si>
    <t>Ravi Singh</t>
  </si>
  <si>
    <t>ravi2003singh63@gmail.com</t>
  </si>
  <si>
    <t>ASIPL4485</t>
  </si>
  <si>
    <t>Preethi Kumari</t>
  </si>
  <si>
    <t>preethikumari763@gmail.com</t>
  </si>
  <si>
    <t>ASIPL4486</t>
  </si>
  <si>
    <t>Riya Tripathi</t>
  </si>
  <si>
    <t>riyaradiant017@gmail.com</t>
  </si>
  <si>
    <t>Senior Platform Architect - Level 7</t>
  </si>
  <si>
    <t>ASIPL4487</t>
  </si>
  <si>
    <t>Madhu Vijayan S</t>
  </si>
  <si>
    <t>smadhuvijayan@gmail.com</t>
  </si>
  <si>
    <t>ASIPL4488</t>
  </si>
  <si>
    <t>Akshatha V B</t>
  </si>
  <si>
    <t>akshathaindia97@gmail.com</t>
  </si>
  <si>
    <t>ASIPL4489</t>
  </si>
  <si>
    <t>Yogender Singh</t>
  </si>
  <si>
    <t>yogender.singh@aditiconsulting.com</t>
  </si>
  <si>
    <t>ASIPL4490</t>
  </si>
  <si>
    <t>Aravindh R S</t>
  </si>
  <si>
    <t>aravindh.rs@aditiconsulting.com</t>
  </si>
  <si>
    <t>ASIPL4491</t>
  </si>
  <si>
    <t>Varma Veera Venkata Subbaraju Nadimpalli</t>
  </si>
  <si>
    <t>nadimpalli.veera@aditiconsulting.com</t>
  </si>
  <si>
    <t>ASIPL4492</t>
  </si>
  <si>
    <t>Khushi Vaswani</t>
  </si>
  <si>
    <t>khushivaswani574@gmail.com</t>
  </si>
  <si>
    <t>Title Exception</t>
  </si>
  <si>
    <t>ASIPL4493</t>
  </si>
  <si>
    <t>Chanchal Anil Misal</t>
  </si>
  <si>
    <t>chanchalmisal31@gmail.com</t>
  </si>
  <si>
    <t>ASIPL4494</t>
  </si>
  <si>
    <t>Pratik Agarwal</t>
  </si>
  <si>
    <t>pratikagarwal1109@gmail.com</t>
  </si>
  <si>
    <t>ASIPL4495</t>
  </si>
  <si>
    <t>Shivendra Pratap Singh</t>
  </si>
  <si>
    <t>pratapshivendra77@gmail.com</t>
  </si>
  <si>
    <t>ASIPL4496</t>
  </si>
  <si>
    <t>Shyam Sundar Rao Majji</t>
  </si>
  <si>
    <t>shyamsundarraomajji333@gmail.com</t>
  </si>
  <si>
    <t>ASIPL4497</t>
  </si>
  <si>
    <t>Ankit Shaw</t>
  </si>
  <si>
    <t>ankit.shaw.medium@gmail.com</t>
  </si>
  <si>
    <t>ASIPL4498</t>
  </si>
  <si>
    <t>Suruchi Gupta</t>
  </si>
  <si>
    <t>suruchigupta511@gmail.com</t>
  </si>
  <si>
    <t>ASIPL4499</t>
  </si>
  <si>
    <t>Megada Triveni</t>
  </si>
  <si>
    <t>trivenimeegada20@gmail.com</t>
  </si>
  <si>
    <t>ASIPL4500</t>
  </si>
  <si>
    <t>Sujal Karmakar</t>
  </si>
  <si>
    <t>sujalkarmakar6363@gmail.com</t>
  </si>
  <si>
    <t>ASIPL4501</t>
  </si>
  <si>
    <t>Sanjay L</t>
  </si>
  <si>
    <t>sanjaygowda761944@gmail.com</t>
  </si>
  <si>
    <t>ASIPL4502</t>
  </si>
  <si>
    <t>Sumana Pal Adak</t>
  </si>
  <si>
    <t>sumanaadak22@gmail.com</t>
  </si>
  <si>
    <t>ASIPL4503</t>
  </si>
  <si>
    <t>Harshit Pathak</t>
  </si>
  <si>
    <t>harshit.pathak126@gmail.com</t>
  </si>
  <si>
    <t>ASIPL4504</t>
  </si>
  <si>
    <t>Ronit Singha Roy</t>
  </si>
  <si>
    <t>roniitroyy@gmail.com</t>
  </si>
  <si>
    <t>ASIPL4505</t>
  </si>
  <si>
    <t>Fragrance Susana</t>
  </si>
  <si>
    <t>fragrancesusana@gmail.com</t>
  </si>
  <si>
    <t>ASIPL4506</t>
  </si>
  <si>
    <t>Saranya Rout</t>
  </si>
  <si>
    <t>saranyarout16@gmail.com</t>
  </si>
  <si>
    <t>ASIPL4507</t>
  </si>
  <si>
    <t>Guntupally Haneesh Chowdary</t>
  </si>
  <si>
    <t>guntupallihaneesh@gmail.com</t>
  </si>
  <si>
    <t>ASIPL4508</t>
  </si>
  <si>
    <t>Hari Shri Raj Singh</t>
  </si>
  <si>
    <t>harinarsingh98@gmail.com</t>
  </si>
  <si>
    <t>ASIPL4509</t>
  </si>
  <si>
    <t>Althouf A</t>
  </si>
  <si>
    <t>althouf369@gmail.com</t>
  </si>
  <si>
    <t>ASIPL4510</t>
  </si>
  <si>
    <t>Hamsa A</t>
  </si>
  <si>
    <t>hamsaashwa2002@gmail.com</t>
  </si>
  <si>
    <t>ASIPL4511</t>
  </si>
  <si>
    <t>Karunesha H</t>
  </si>
  <si>
    <t>hkarunesha@gmail.com</t>
  </si>
  <si>
    <t>ASIPL4512</t>
  </si>
  <si>
    <t>Bhavanasi Seshadri Reddy</t>
  </si>
  <si>
    <t>bhavanasiseshadri@gmail.com</t>
  </si>
  <si>
    <t>ASIPL4514</t>
  </si>
  <si>
    <t>S Robin Vinnarasu</t>
  </si>
  <si>
    <t>s.robinvinnarasu@gmail.com</t>
  </si>
  <si>
    <t>ASIPL4518</t>
  </si>
  <si>
    <t>Misbah Fathima</t>
  </si>
  <si>
    <t>misbahfathima0000@gmail.com</t>
  </si>
  <si>
    <t>ASIPL4519</t>
  </si>
  <si>
    <t>Tarnika K S</t>
  </si>
  <si>
    <t>tarnikasrinivas@gmail.com</t>
  </si>
  <si>
    <t>ASIPL4520</t>
  </si>
  <si>
    <t>Bhoomika A S</t>
  </si>
  <si>
    <t>bhoomikaas2002@gmail.com</t>
  </si>
  <si>
    <t>ASIPL4521</t>
  </si>
  <si>
    <t>V Charu</t>
  </si>
  <si>
    <t>charuv2005@gmail.com</t>
  </si>
  <si>
    <t>ASIPL4522</t>
  </si>
  <si>
    <t>Swapna Singh</t>
  </si>
  <si>
    <t>sapnasinghrs54@gmail.com</t>
  </si>
  <si>
    <t>ASIPL4523</t>
  </si>
  <si>
    <t>Pavani Rangala</t>
  </si>
  <si>
    <t>pavanirangala@gmail.com</t>
  </si>
  <si>
    <t>AWS Integration Developer</t>
  </si>
  <si>
    <t>ASIPL4524</t>
  </si>
  <si>
    <t>Yash Tiwari</t>
  </si>
  <si>
    <t>yash.tiwari.dev15@gmail.com</t>
  </si>
  <si>
    <t>ASIPL4525</t>
  </si>
  <si>
    <t>Reenu Shahi</t>
  </si>
  <si>
    <t>reenu.shahi@aditiconsulting.com</t>
  </si>
  <si>
    <t>ASIPL4526</t>
  </si>
  <si>
    <t>Adarsh Dwivedi</t>
  </si>
  <si>
    <t>adarsh.dwivedi@aditiconsulting.com</t>
  </si>
  <si>
    <t>Full Stack Developer</t>
  </si>
  <si>
    <t>ASIPL4528</t>
  </si>
  <si>
    <t>C Bhavani Prasad</t>
  </si>
  <si>
    <t>bhavaniprasad89@gmail.com</t>
  </si>
  <si>
    <t>Marketing Manager</t>
  </si>
  <si>
    <t>ASIPL4529</t>
  </si>
  <si>
    <t>Harish Gowda Patil</t>
  </si>
  <si>
    <t>harishgowdapatil23@gmail.com</t>
  </si>
  <si>
    <t>Data Entry Associate I</t>
  </si>
  <si>
    <t>ASIPL4530</t>
  </si>
  <si>
    <t>Prathyusha Nagavenkata Sai Sri Sistla</t>
  </si>
  <si>
    <t>prathyushasistla99@gmail.com</t>
  </si>
  <si>
    <t>ASIPL4531</t>
  </si>
  <si>
    <t>Harsha S Madihalli</t>
  </si>
  <si>
    <t>harshasm640@gmail.com</t>
  </si>
  <si>
    <t>ASIPL4532</t>
  </si>
  <si>
    <t>Subhasis Mohanty</t>
  </si>
  <si>
    <t>subhasism282@gmail.com</t>
  </si>
  <si>
    <t>ASIPL4533</t>
  </si>
  <si>
    <t>Sangharsh Sekhar Panda</t>
  </si>
  <si>
    <t>sangharshpanda07@gmail.com</t>
  </si>
  <si>
    <t>ASIPL4534</t>
  </si>
  <si>
    <t>Saksham Patni</t>
  </si>
  <si>
    <t>sakshampatni001@gmail.com</t>
  </si>
  <si>
    <t>ASIPL4535</t>
  </si>
  <si>
    <t>Avinash Kumar Singh</t>
  </si>
  <si>
    <t>avinashkumarsingh699@gmail.com</t>
  </si>
  <si>
    <t>ASIPL4536</t>
  </si>
  <si>
    <t>Utkarsh Chandra</t>
  </si>
  <si>
    <t>chandrautkarsh4@gmail.com</t>
  </si>
  <si>
    <t>ASIPL4537</t>
  </si>
  <si>
    <t>Ankit Kumar Pani</t>
  </si>
  <si>
    <t>ankitkumarpani@gmail.com</t>
  </si>
  <si>
    <t>ASIPL4538</t>
  </si>
  <si>
    <t>Sharath Santhosh</t>
  </si>
  <si>
    <t>sharath141194@gmail.com</t>
  </si>
  <si>
    <t>ASIPL4540</t>
  </si>
  <si>
    <t>Vrushabh Kasliwal</t>
  </si>
  <si>
    <t>vrushabhkasliwal1008@gmail.com</t>
  </si>
  <si>
    <t>ASIPL4541</t>
  </si>
  <si>
    <t>Shri Hari Prasad G</t>
  </si>
  <si>
    <t>hari.prasad@aditiconsulting.com</t>
  </si>
  <si>
    <t>Hardware Design Engineer</t>
  </si>
  <si>
    <t>ASIPL4542</t>
  </si>
  <si>
    <t>Rohit Bhutkar</t>
  </si>
  <si>
    <t>rohitb2427@gmail.com</t>
  </si>
  <si>
    <t>IOS Developer - II</t>
  </si>
  <si>
    <t>ASIPL4543</t>
  </si>
  <si>
    <t>Godwin Davis</t>
  </si>
  <si>
    <t>godwindavis550@gmail.com</t>
  </si>
  <si>
    <t>ASIPL4544</t>
  </si>
  <si>
    <t>Bhoomika M</t>
  </si>
  <si>
    <t>bhoomikam062@gmail.com</t>
  </si>
  <si>
    <t>ASIPL4545</t>
  </si>
  <si>
    <t>Naveen G</t>
  </si>
  <si>
    <t>princenavi0143@gmail.com</t>
  </si>
  <si>
    <t>ASIPL4546</t>
  </si>
  <si>
    <t>Ayesha Sufi</t>
  </si>
  <si>
    <t>ayeshasufi02@gmail.com</t>
  </si>
  <si>
    <t>ASIPL4547</t>
  </si>
  <si>
    <t>Sowmya .</t>
  </si>
  <si>
    <t>sowmyakundapur95@gmail.com</t>
  </si>
  <si>
    <t>ASIPL4548</t>
  </si>
  <si>
    <t>Bhavana T N</t>
  </si>
  <si>
    <t>bhavanatn123@gmail.com</t>
  </si>
  <si>
    <t>ASIPL4549</t>
  </si>
  <si>
    <t>Y Avinash</t>
  </si>
  <si>
    <t>avinash.bly143@gmail.com</t>
  </si>
  <si>
    <t>ASIPL4550</t>
  </si>
  <si>
    <t>Puviyarasan Asokan</t>
  </si>
  <si>
    <t>puviashok404@gmail.com</t>
  </si>
  <si>
    <t>ASIPL4551</t>
  </si>
  <si>
    <t>Shahid Bilal Itoo</t>
  </si>
  <si>
    <t>shahidbilal5535@gmail.com</t>
  </si>
  <si>
    <t>ASIPL4552</t>
  </si>
  <si>
    <t>Rajneesh Ravi Barkar</t>
  </si>
  <si>
    <t>rajneeshbarkar@gmail.com</t>
  </si>
  <si>
    <t>ASIPL4553</t>
  </si>
  <si>
    <t>Renita Mariam Thomas</t>
  </si>
  <si>
    <t>renitamariam.98@gmail.com</t>
  </si>
  <si>
    <t>Implementation Analyst</t>
  </si>
  <si>
    <t>ASIPL4554</t>
  </si>
  <si>
    <t>Rakshana P M</t>
  </si>
  <si>
    <t>rakshanaprem@gmail.com</t>
  </si>
  <si>
    <t>ASIPL4555</t>
  </si>
  <si>
    <t>Shradha A</t>
  </si>
  <si>
    <t>shradhaanilvarma.a@gmail.com</t>
  </si>
  <si>
    <t>Information Technology - Analyst/Developer - General 3</t>
  </si>
  <si>
    <t>ASIPL4556</t>
  </si>
  <si>
    <t>Raman Yadav</t>
  </si>
  <si>
    <t>ydvraman555@gmail.com</t>
  </si>
  <si>
    <t>ASIPL4557</t>
  </si>
  <si>
    <t>Shilpita Gope</t>
  </si>
  <si>
    <t>shilpitagope9933@gmail.com</t>
  </si>
  <si>
    <t>ASIPL4558</t>
  </si>
  <si>
    <t>Nitin Mukesh Agarwal</t>
  </si>
  <si>
    <t>nitinagarwal9359@gmail.com</t>
  </si>
  <si>
    <t>ASIPL4559</t>
  </si>
  <si>
    <t>Balasubramanian Suresh</t>
  </si>
  <si>
    <t>sureshbal1974@gmail.com</t>
  </si>
  <si>
    <t>Java Backend Developer |V</t>
  </si>
  <si>
    <t>ASIPL4560</t>
  </si>
  <si>
    <t>Nagaprasad B P</t>
  </si>
  <si>
    <t>nagaprasad.bp@aditiconsulting.com</t>
  </si>
  <si>
    <t>Infrastructure Project Manager</t>
  </si>
  <si>
    <t>ASIPL4562</t>
  </si>
  <si>
    <t>Sainath .</t>
  </si>
  <si>
    <t>sainathvairagi7899@gmail.com</t>
  </si>
  <si>
    <t>ASIPL4563</t>
  </si>
  <si>
    <t>K Y Sai Sampath</t>
  </si>
  <si>
    <t>sampath.ky1997@gmail.com</t>
  </si>
  <si>
    <t>Manual Testing Analyst</t>
  </si>
  <si>
    <t>ASIPL4564</t>
  </si>
  <si>
    <t>Jadem Jameer Hussain</t>
  </si>
  <si>
    <t>jameerhus@gmail.com</t>
  </si>
  <si>
    <t>ASIPL4565</t>
  </si>
  <si>
    <t>Mohammed Rizwan A</t>
  </si>
  <si>
    <t>amohammedrizwan2001@gmail.com</t>
  </si>
  <si>
    <t>ASIPL4569</t>
  </si>
  <si>
    <t>Praveen Chavan</t>
  </si>
  <si>
    <t>praveen.chavan@aditiconsulting.com</t>
  </si>
  <si>
    <t>ASIPL4575</t>
  </si>
  <si>
    <t>Suhas Naidu G V</t>
  </si>
  <si>
    <t>suhasv500@gmail.com</t>
  </si>
  <si>
    <t>Quality Assurance Tech I</t>
  </si>
  <si>
    <t>ASIPL4576</t>
  </si>
  <si>
    <t>Nitheshwar S</t>
  </si>
  <si>
    <t>nitheshwar1810@gmail.com</t>
  </si>
  <si>
    <t>ASIPL4577</t>
  </si>
  <si>
    <t>Harsh Saini</t>
  </si>
  <si>
    <t>harshsaini.hs04@gmail.com</t>
  </si>
  <si>
    <t>ASIPL4578</t>
  </si>
  <si>
    <t>Polam Sravani</t>
  </si>
  <si>
    <t>sampolam98@gmail.com</t>
  </si>
  <si>
    <t>ASIPL4580</t>
  </si>
  <si>
    <t>Mohammed Mazhar Ali S</t>
  </si>
  <si>
    <t>mazharkapostbox@gmail.com</t>
  </si>
  <si>
    <t>ATCPLAPP001</t>
  </si>
  <si>
    <t>Patel Nisarg Kalpeshbhai</t>
  </si>
  <si>
    <t>nisarg.patel@aditiconsulting.com</t>
  </si>
  <si>
    <t>Trainee - AI Engineer</t>
  </si>
  <si>
    <t>ATCPLAPP002</t>
  </si>
  <si>
    <t>Pranita Apurvabhai Bhatt</t>
  </si>
  <si>
    <t>pranita.bhatt@aditiconsulting.com</t>
  </si>
  <si>
    <t>ATCPLAPP003</t>
  </si>
  <si>
    <t>Reddy Harsha Sai Venkata Prudhvi</t>
  </si>
  <si>
    <t>prudhvi.reddy@aditiconsulting.com</t>
  </si>
  <si>
    <t>ATCPLAPP004</t>
  </si>
  <si>
    <t>Khushi Agarwal</t>
  </si>
  <si>
    <t>khushi.agarwal@aditiconsulting.com</t>
  </si>
  <si>
    <t>ATCPLAPP005</t>
  </si>
  <si>
    <t>Mohit Singh</t>
  </si>
  <si>
    <t>mohit.singh@aditiconsulting.com</t>
  </si>
  <si>
    <t>ATCPLAPP006</t>
  </si>
  <si>
    <t>Kondasani Balaji</t>
  </si>
  <si>
    <t>kondasani.balaji@aditiconsulting.com</t>
  </si>
  <si>
    <t>ATCPLAPP007</t>
  </si>
  <si>
    <t>Shah Vaishnavi</t>
  </si>
  <si>
    <t>vaishnavi.shah@aditiconsulting.com</t>
  </si>
  <si>
    <t>ATCPLAPP008</t>
  </si>
  <si>
    <t>Medisetti Jayaramakrishna</t>
  </si>
  <si>
    <t>jayaramakrishna.medisetti@aditiconsulting.com</t>
  </si>
  <si>
    <t>ATCPLAPP009</t>
  </si>
  <si>
    <t>Kargaom Srishanth</t>
  </si>
  <si>
    <t>srishanth.kargaom@aditiconsulting.com</t>
  </si>
  <si>
    <t>ATCPLAPP010</t>
  </si>
  <si>
    <t>Swara Nilesh Nafade</t>
  </si>
  <si>
    <t>swara.nafade@aditiconsulting.com</t>
  </si>
  <si>
    <t>ATCPLAPP011</t>
  </si>
  <si>
    <t>Chaudhari Muskan</t>
  </si>
  <si>
    <t>muskan.chaudhari@aditiconsulting.com</t>
  </si>
  <si>
    <t>ATCPLAPP012</t>
  </si>
  <si>
    <t>Patel Dharmikkumar</t>
  </si>
  <si>
    <t>dharmikkumar.patel@aditiconsulting.com</t>
  </si>
  <si>
    <t>ATCPLAPP013</t>
  </si>
  <si>
    <t>Harsh Mahesh Agrawal</t>
  </si>
  <si>
    <t>harsh.agrawal@aditiconsulting.com</t>
  </si>
  <si>
    <t>ATCPLAPP015</t>
  </si>
  <si>
    <t>Pratik Thakur</t>
  </si>
  <si>
    <t>pratik.thakur@aditiconsulting.com</t>
  </si>
  <si>
    <t>ATCPLAPP016</t>
  </si>
  <si>
    <t>Shrutishree Panda</t>
  </si>
  <si>
    <t>shrutishree.panda@aditiconsulting.com</t>
  </si>
  <si>
    <t>INTERN0010</t>
  </si>
  <si>
    <t>Vemuri Sushil</t>
  </si>
  <si>
    <t>vemuri.sushil@aditiconsulting.com</t>
  </si>
  <si>
    <t>Intern</t>
  </si>
  <si>
    <t>INTERN0013</t>
  </si>
  <si>
    <t>Parmar Chintan Jayantibhai</t>
  </si>
  <si>
    <t>chintan.parmar@aditiconsulting.com</t>
  </si>
  <si>
    <t>Intern - People Department</t>
  </si>
  <si>
    <t>INTERN0014</t>
  </si>
  <si>
    <t>Vedant Pradhan</t>
  </si>
  <si>
    <t>vedant.pradhan@aditiconsulting.com</t>
  </si>
  <si>
    <t>AI Intern</t>
  </si>
  <si>
    <t>INTERN0015</t>
  </si>
  <si>
    <t>Beesabathuni Anirudh Sai</t>
  </si>
  <si>
    <t>beesabathuni.anirudh@aditiconsulting.com</t>
  </si>
  <si>
    <t>INTERN0016</t>
  </si>
  <si>
    <t>Rakshitha D Desai</t>
  </si>
  <si>
    <t>rakshitha.desai@aditiconsulting.com</t>
  </si>
  <si>
    <t>Trainee - Learning &amp; Development</t>
  </si>
  <si>
    <t>AI Labs</t>
  </si>
  <si>
    <t>Client</t>
  </si>
  <si>
    <t>Billable</t>
  </si>
  <si>
    <t>Fixed Term Contractors</t>
  </si>
  <si>
    <t>Internal Employee</t>
  </si>
  <si>
    <t>India ToD Contractor</t>
  </si>
  <si>
    <t>Internal Billable</t>
  </si>
  <si>
    <t>Recruitment &amp; Client Services</t>
  </si>
  <si>
    <t>maternity</t>
  </si>
  <si>
    <t>Quarter</t>
  </si>
  <si>
    <t xml:space="preserve">Client </t>
  </si>
  <si>
    <t>Category</t>
  </si>
  <si>
    <t>ASIPL0000</t>
  </si>
  <si>
    <t>Khushi Arora</t>
  </si>
  <si>
    <t>khushiarora6082@gmail.com</t>
  </si>
  <si>
    <t>Learner Experience Specialist</t>
  </si>
  <si>
    <t>Q1</t>
  </si>
  <si>
    <t>Company Action</t>
  </si>
  <si>
    <t>Candidate Unfit</t>
  </si>
  <si>
    <t>India ToD Contractors</t>
  </si>
  <si>
    <t>ASIPL0128</t>
  </si>
  <si>
    <t>Jevin George Ninan</t>
  </si>
  <si>
    <t>jevingn@aditiconsulting.com</t>
  </si>
  <si>
    <t>Senior Manager - Service Delivery</t>
  </si>
  <si>
    <t>Q3</t>
  </si>
  <si>
    <t>Employee Resignation</t>
  </si>
  <si>
    <t>Growth Prospects</t>
  </si>
  <si>
    <t>ASIPL0356</t>
  </si>
  <si>
    <t>Abhay Prakash Tiwari</t>
  </si>
  <si>
    <t>abhayt@aditiconsulting.com</t>
  </si>
  <si>
    <t>Personal Reasons</t>
  </si>
  <si>
    <t>ASIPL0633</t>
  </si>
  <si>
    <t>Anisha Ganesh G Kunder</t>
  </si>
  <si>
    <t>anishagk@aditiconsulting.com</t>
  </si>
  <si>
    <t>Work from Office - Not Flexible</t>
  </si>
  <si>
    <t>ASIPL0858</t>
  </si>
  <si>
    <t>K Joel Anto Anto Benedict</t>
  </si>
  <si>
    <t>joela@aditiconsulting.com</t>
  </si>
  <si>
    <t>Lead IT Operations</t>
  </si>
  <si>
    <t>ASIPL1099</t>
  </si>
  <si>
    <t>Srihari Sajeev</t>
  </si>
  <si>
    <t>sriharis@aditiconsulting.com</t>
  </si>
  <si>
    <t>ASIPL1548</t>
  </si>
  <si>
    <t>Kashish Tailor</t>
  </si>
  <si>
    <t>kashisht@aditiconsulting.com</t>
  </si>
  <si>
    <t>Position Dissolved</t>
  </si>
  <si>
    <t>Not To Count In Attrition</t>
  </si>
  <si>
    <t>ASIPL1549</t>
  </si>
  <si>
    <t>Kankana Kashyap</t>
  </si>
  <si>
    <t>kankanak@aditiconsulting.com</t>
  </si>
  <si>
    <t>ASIPL1583</t>
  </si>
  <si>
    <t>Aravindraj Ramachandran</t>
  </si>
  <si>
    <t>aravindrajr@aditiconsulting.com</t>
  </si>
  <si>
    <t>Director - Talent Management</t>
  </si>
  <si>
    <t>ASIPL1633</t>
  </si>
  <si>
    <t>Porus Viraf Kapadia</t>
  </si>
  <si>
    <t>porusv@aditiconsulting.com</t>
  </si>
  <si>
    <t>ASIPL1637</t>
  </si>
  <si>
    <t>Shruti Garg</t>
  </si>
  <si>
    <t>shrutig@aditiconsulting.com</t>
  </si>
  <si>
    <t>Bench</t>
  </si>
  <si>
    <t>ASIPL1665</t>
  </si>
  <si>
    <t>VIGNAJA HARIKRISHNA</t>
  </si>
  <si>
    <t>vignajah@aditiconsulting.com</t>
  </si>
  <si>
    <t>ASIPL1686</t>
  </si>
  <si>
    <t>Sakshi Mishra</t>
  </si>
  <si>
    <t>sakshim@aditiconsulting.com</t>
  </si>
  <si>
    <t>Lead - Payroll Support</t>
  </si>
  <si>
    <t>Pankaj Gupta</t>
  </si>
  <si>
    <t>Medical Condition</t>
  </si>
  <si>
    <t>ASIPL1732</t>
  </si>
  <si>
    <t>Mehak</t>
  </si>
  <si>
    <t>mehak@aditiconsulting.com</t>
  </si>
  <si>
    <t>Client Acquisition &amp; Growth Manager</t>
  </si>
  <si>
    <t>Allison Crea</t>
  </si>
  <si>
    <t>ASIPL1759</t>
  </si>
  <si>
    <t>Kanwal Kumar Sharma</t>
  </si>
  <si>
    <t>kanwalks@aditiconsulting.com</t>
  </si>
  <si>
    <t>Performance Issue</t>
  </si>
  <si>
    <t>ASIPL2195</t>
  </si>
  <si>
    <t>Preety Kamleshvar Prajapati</t>
  </si>
  <si>
    <t>preetyp@aditiconsulting.com</t>
  </si>
  <si>
    <t>ASIPL2213</t>
  </si>
  <si>
    <t>Veena R</t>
  </si>
  <si>
    <t>veenar@aditiconsulting.com</t>
  </si>
  <si>
    <t>Unable to Serve Notice Period</t>
  </si>
  <si>
    <t>ASIPL2343</t>
  </si>
  <si>
    <t>Shakila</t>
  </si>
  <si>
    <t>shakila@aditiconsulting.com</t>
  </si>
  <si>
    <t>ASIPL2428</t>
  </si>
  <si>
    <t>Stephen Francis</t>
  </si>
  <si>
    <t>stephenf@aditiconsulting.com</t>
  </si>
  <si>
    <t>ASIPL2442</t>
  </si>
  <si>
    <t>Prashant Menghnani</t>
  </si>
  <si>
    <t>prashantm@aditiconsulting.com</t>
  </si>
  <si>
    <t>ASIPL2454</t>
  </si>
  <si>
    <t>Akshata Handigolmath</t>
  </si>
  <si>
    <t>akshatah@aditiconsulting.com</t>
  </si>
  <si>
    <t>ASIPL2570</t>
  </si>
  <si>
    <t>Deepu R</t>
  </si>
  <si>
    <t>deepur@aditiconsulting.com</t>
  </si>
  <si>
    <t>ASIPL2617</t>
  </si>
  <si>
    <t>S. Mahalaxmi</t>
  </si>
  <si>
    <t>somam@aditiconsulting.com</t>
  </si>
  <si>
    <t>Resignation</t>
  </si>
  <si>
    <t>ASIPL2866</t>
  </si>
  <si>
    <t>MOHAMMED SHOAIB KHAN</t>
  </si>
  <si>
    <t>shoaibk@aditiconsulting.com</t>
  </si>
  <si>
    <t>ASIPL2891</t>
  </si>
  <si>
    <t>Priyanka Anand</t>
  </si>
  <si>
    <t>priyanka.anand0502@gmail.com</t>
  </si>
  <si>
    <t>Digital Marketing Manager</t>
  </si>
  <si>
    <t>Contract Expired</t>
  </si>
  <si>
    <t>Track Separate</t>
  </si>
  <si>
    <t>ASIPL2975</t>
  </si>
  <si>
    <t>Ramachandran KV</t>
  </si>
  <si>
    <t>ramachandranv@aditiconsulting.com</t>
  </si>
  <si>
    <t>ASIPL3011</t>
  </si>
  <si>
    <t>Ranjitha Moorthy</t>
  </si>
  <si>
    <t>ranjitham@aditiconsulting.com</t>
  </si>
  <si>
    <t>Learning &amp; Development Lead - Content</t>
  </si>
  <si>
    <t>ASIPL3050</t>
  </si>
  <si>
    <t>Rathan Nayak N</t>
  </si>
  <si>
    <t>rathann@aditiconsulting.com</t>
  </si>
  <si>
    <t>ASIPL3089</t>
  </si>
  <si>
    <t>G Ramesh</t>
  </si>
  <si>
    <t>rameshg@aditiconsulting.com</t>
  </si>
  <si>
    <t>akshathadr@aditiconsulting.com</t>
  </si>
  <si>
    <t>ASIPL3148</t>
  </si>
  <si>
    <t>Kameswari Oleti</t>
  </si>
  <si>
    <t>kameswario@aditiconsulting.com</t>
  </si>
  <si>
    <t>ASIPL3155</t>
  </si>
  <si>
    <t>Bhagyashree Ram Giradkar</t>
  </si>
  <si>
    <t>shreedh12@gmail.com</t>
  </si>
  <si>
    <t>Configuration Management Analyst</t>
  </si>
  <si>
    <t>ASIPL3160</t>
  </si>
  <si>
    <t>Prasad Santosh</t>
  </si>
  <si>
    <t>prasads@aditiconsulting.com</t>
  </si>
  <si>
    <t>ASIPL3175</t>
  </si>
  <si>
    <t>Uppuganti Arun Jyothi</t>
  </si>
  <si>
    <t>arunju@aditiconsulting.com</t>
  </si>
  <si>
    <t>ASIPL3209</t>
  </si>
  <si>
    <t>Kethwas Aman Ranjit</t>
  </si>
  <si>
    <t>amanr@aditiconsulting.com</t>
  </si>
  <si>
    <t>ASIPL3218</t>
  </si>
  <si>
    <t>Mohammad Faisal</t>
  </si>
  <si>
    <t>faisal.shaikh.moha@gmail.com</t>
  </si>
  <si>
    <t>Bizops Engineer</t>
  </si>
  <si>
    <t>ASIPL3222</t>
  </si>
  <si>
    <t>Byrisetty Charishma</t>
  </si>
  <si>
    <t>charishmab@aditiconsulting.com</t>
  </si>
  <si>
    <t>Senior Data Quality Engineer</t>
  </si>
  <si>
    <t>ASIPL3228</t>
  </si>
  <si>
    <t>Amulya K V</t>
  </si>
  <si>
    <t>amulyak@aditiconsulting.com</t>
  </si>
  <si>
    <t>ASIPL3287</t>
  </si>
  <si>
    <t>Sannad Priyankaben Dineshbhai</t>
  </si>
  <si>
    <t>sannadp@aditiconsulting.com</t>
  </si>
  <si>
    <t>junaidi@aditiconsulting.com</t>
  </si>
  <si>
    <t>ASIPL3303</t>
  </si>
  <si>
    <t>sunilr@aditiconsulting.com</t>
  </si>
  <si>
    <t>ASIPL3319</t>
  </si>
  <si>
    <t>Aishwarya Deiveegan</t>
  </si>
  <si>
    <t>aishu730@gmail.com</t>
  </si>
  <si>
    <t>Program Manager – L&amp;D</t>
  </si>
  <si>
    <t>ASIPL3327</t>
  </si>
  <si>
    <t>Durgesh Kumar Mishra</t>
  </si>
  <si>
    <t>durgesh.kumar@aditiconsulting.com</t>
  </si>
  <si>
    <t>ASIPL3343</t>
  </si>
  <si>
    <t>Sanjay P S</t>
  </si>
  <si>
    <t>sanjay.ps@aditiconsulting.com</t>
  </si>
  <si>
    <t>Coordinator  - Talent Experience</t>
  </si>
  <si>
    <t>ASIPL3348</t>
  </si>
  <si>
    <t>ARCHANA K V</t>
  </si>
  <si>
    <t>archanakv101991@gmail.com</t>
  </si>
  <si>
    <t>Full Stack Trainer</t>
  </si>
  <si>
    <t>ASIPL3351</t>
  </si>
  <si>
    <t>Nekkanti Sree Vamsi</t>
  </si>
  <si>
    <t>sree.vamsi.n@gmail.com</t>
  </si>
  <si>
    <t>Lead Engineer</t>
  </si>
  <si>
    <t>ASIPL3366</t>
  </si>
  <si>
    <t>Jitendra Choudhary</t>
  </si>
  <si>
    <t>choudhary.jitendra@yahoo.com</t>
  </si>
  <si>
    <t>Sr. Sourcing Manager (Network and Telecom)</t>
  </si>
  <si>
    <t>GeVernova</t>
  </si>
  <si>
    <t>ASIPL3378</t>
  </si>
  <si>
    <t>Sudesh Sahu</t>
  </si>
  <si>
    <t>sudesh.sahu@aditiconsulting.com</t>
  </si>
  <si>
    <t>Darshan NS</t>
  </si>
  <si>
    <t>ASIPL3402</t>
  </si>
  <si>
    <t>Rahul Maurya</t>
  </si>
  <si>
    <t>mauryarahul007@gmail.com</t>
  </si>
  <si>
    <t>Counter Offer</t>
  </si>
  <si>
    <t>ASIPL3405</t>
  </si>
  <si>
    <t>Nirmal Johny</t>
  </si>
  <si>
    <t>nirmal.johny@aditiconsulting.com</t>
  </si>
  <si>
    <t>ASIPL3409</t>
  </si>
  <si>
    <t>V Srinivasan</t>
  </si>
  <si>
    <t>srinivasan.v@aditiconsulting.com</t>
  </si>
  <si>
    <t>ASIPL3415</t>
  </si>
  <si>
    <t>Sachin L K</t>
  </si>
  <si>
    <t>sachin.lk@aditiconsulting.com</t>
  </si>
  <si>
    <t>ASIPL3419</t>
  </si>
  <si>
    <t>Saifulla Mujawar</t>
  </si>
  <si>
    <t>saif816@gmail.com</t>
  </si>
  <si>
    <t>ASIPL3421</t>
  </si>
  <si>
    <t>Chandan Patel</t>
  </si>
  <si>
    <t>chandan.patel@aditiconsulting.com</t>
  </si>
  <si>
    <t>ASIPL3426</t>
  </si>
  <si>
    <t>Ishfaq Rasool Ganaie</t>
  </si>
  <si>
    <t>ishfaq.ganaie@aditiconsulting.com</t>
  </si>
  <si>
    <t>Explore Other careers</t>
  </si>
  <si>
    <t>ASIPL3443</t>
  </si>
  <si>
    <t>Shalini Jain</t>
  </si>
  <si>
    <t>shalini.jain@aditiconsulting.com</t>
  </si>
  <si>
    <t>Sourcing Specialist</t>
  </si>
  <si>
    <t>GE Aerospace</t>
  </si>
  <si>
    <t>ASIPL3475</t>
  </si>
  <si>
    <t>Infenta Christy Reena</t>
  </si>
  <si>
    <t>infentareena05@gmail.com</t>
  </si>
  <si>
    <t>Trainer - Learning &amp; Development</t>
  </si>
  <si>
    <t>ASIPL3484</t>
  </si>
  <si>
    <t>Shardul Shaileshkumar Mane</t>
  </si>
  <si>
    <t>shardulmane3@gmail.com</t>
  </si>
  <si>
    <t>FTE Conversion</t>
  </si>
  <si>
    <t>ASIPL3493</t>
  </si>
  <si>
    <t>Hari Chandana Bade</t>
  </si>
  <si>
    <t>28chandana78@gmail.com</t>
  </si>
  <si>
    <t>ASIPL3500</t>
  </si>
  <si>
    <t>Rajat Rao</t>
  </si>
  <si>
    <t>rajat.rao@aditiconsulting.com</t>
  </si>
  <si>
    <t>ASIPL3504</t>
  </si>
  <si>
    <t>Shreshtha Rahul Dhatrak</t>
  </si>
  <si>
    <t>shreshthadhatrak@gmail.com</t>
  </si>
  <si>
    <t>H&amp;M Group</t>
  </si>
  <si>
    <t>Data AI Content Writer</t>
  </si>
  <si>
    <t>ASIPL3507</t>
  </si>
  <si>
    <t>Yepuri Prashanthi</t>
  </si>
  <si>
    <t>yepuri.prashanthi555@gmail.com</t>
  </si>
  <si>
    <t>Salesforce Developer</t>
  </si>
  <si>
    <t>ASIPL3508</t>
  </si>
  <si>
    <t>Padmapriya Padmanabhan</t>
  </si>
  <si>
    <t>priyapadmanabhan.pp@gmail.com</t>
  </si>
  <si>
    <t>Senior Engineering Program Manager</t>
  </si>
  <si>
    <t>ASIPL3509</t>
  </si>
  <si>
    <t>Agrawal Yug</t>
  </si>
  <si>
    <t>yug.agrawal@aditiconsulting.com</t>
  </si>
  <si>
    <t>ASIPL3524</t>
  </si>
  <si>
    <t>Kuldeep Nagar</t>
  </si>
  <si>
    <t>kuldeepvihemnagar@gmail.com</t>
  </si>
  <si>
    <t>Software Engineer- Back End</t>
  </si>
  <si>
    <t>ASIPL3525</t>
  </si>
  <si>
    <t>Anant Srivastava</t>
  </si>
  <si>
    <t>sriv.anant21@gmail.com</t>
  </si>
  <si>
    <t>Front End Developer II</t>
  </si>
  <si>
    <t>ASIPL3529</t>
  </si>
  <si>
    <t>Kanmuri Jullan</t>
  </si>
  <si>
    <t>kanmuri79@gmail.com</t>
  </si>
  <si>
    <t>Senior Workday Consultant</t>
  </si>
  <si>
    <t>ASIPL3530</t>
  </si>
  <si>
    <t>Ponnada Durga Prasad</t>
  </si>
  <si>
    <t>ponnada.prasad@aditiconsulting.com</t>
  </si>
  <si>
    <t>Brevile</t>
  </si>
  <si>
    <t>ASIPL3532</t>
  </si>
  <si>
    <t>Abhishek Sachdeva</t>
  </si>
  <si>
    <t>0010abhi@gmail.com</t>
  </si>
  <si>
    <t>ASIPL3533</t>
  </si>
  <si>
    <t>Mayur Bharat Lalwani</t>
  </si>
  <si>
    <t>lalwanimayur06@gmail.com</t>
  </si>
  <si>
    <t>ASIPL3534</t>
  </si>
  <si>
    <t>Minu A</t>
  </si>
  <si>
    <t>minuaravind@gmail.com</t>
  </si>
  <si>
    <t>Communication Manager</t>
  </si>
  <si>
    <t>ASIPL3544</t>
  </si>
  <si>
    <t>Naman Agarwal</t>
  </si>
  <si>
    <t>naman.agarwal@aditiconsulting.com</t>
  </si>
  <si>
    <t>ASIPL3545</t>
  </si>
  <si>
    <t>Saurav Chandra</t>
  </si>
  <si>
    <t>saurav.chandra@aditiconsulting.com</t>
  </si>
  <si>
    <t>ASIPL3547</t>
  </si>
  <si>
    <t>Damini Gupta</t>
  </si>
  <si>
    <t>daminigupta24@gmail.com</t>
  </si>
  <si>
    <t>ASIPL3549</t>
  </si>
  <si>
    <t>Swarna Rao Kambhampaty</t>
  </si>
  <si>
    <t>swarnarao81@gmail.com</t>
  </si>
  <si>
    <t>Recruiting Sourcing Consultant 2</t>
  </si>
  <si>
    <t>ASIPL3551</t>
  </si>
  <si>
    <t>Fazael Zehra Abdi</t>
  </si>
  <si>
    <t>emailtofazael@gmail.com</t>
  </si>
  <si>
    <t>ASIPL3553</t>
  </si>
  <si>
    <t>Gilsaj Prakasan</t>
  </si>
  <si>
    <t>gilsaj.prakasan@aditiconsulting.com</t>
  </si>
  <si>
    <t>Lead iOS Developer</t>
  </si>
  <si>
    <t>ASIPL3554</t>
  </si>
  <si>
    <t>Ashutosh Patkar</t>
  </si>
  <si>
    <t>ashutosh.patkar@aditiconsulting.com</t>
  </si>
  <si>
    <t>ASIPL3564</t>
  </si>
  <si>
    <t>Anshika Vats</t>
  </si>
  <si>
    <t>anshika.vats@aditiconsulting.com</t>
  </si>
  <si>
    <t>ASIPL3566</t>
  </si>
  <si>
    <t>Gopal Bhupendrabhai Contractor</t>
  </si>
  <si>
    <t>gopalcontractor17@gmail.com</t>
  </si>
  <si>
    <t>ASIPL3568</t>
  </si>
  <si>
    <t>Chitteni Giribabu</t>
  </si>
  <si>
    <t>giribabu.info11@gmail.com</t>
  </si>
  <si>
    <t>ASIPL3572</t>
  </si>
  <si>
    <t>Udayaraj Ballal C</t>
  </si>
  <si>
    <t>udayaraj5193@gmail.com</t>
  </si>
  <si>
    <t>Q4</t>
  </si>
  <si>
    <t>Better Opportunity</t>
  </si>
  <si>
    <t>CAT</t>
  </si>
  <si>
    <t>ASIPL3582</t>
  </si>
  <si>
    <t>K SRIDHAR</t>
  </si>
  <si>
    <t>javasri007@gmail.com</t>
  </si>
  <si>
    <t>ASIPL3586</t>
  </si>
  <si>
    <t>Visarada Kumar Vellamki</t>
  </si>
  <si>
    <t>visarad@gmail.com</t>
  </si>
  <si>
    <t>Principal Consultant</t>
  </si>
  <si>
    <t>ASIPL3588</t>
  </si>
  <si>
    <t>Shashank Saxena</t>
  </si>
  <si>
    <t>shashank.cse20@gmail.com</t>
  </si>
  <si>
    <t>Backend Developer III</t>
  </si>
  <si>
    <t>ASIPL3590</t>
  </si>
  <si>
    <t>U M Manoj Kumar</t>
  </si>
  <si>
    <t>ummanojkumar925@gmail.com</t>
  </si>
  <si>
    <t>Java Backend Developer II</t>
  </si>
  <si>
    <t>ASIPL3591</t>
  </si>
  <si>
    <t>Sahiba Sharma</t>
  </si>
  <si>
    <t>sahiba.sharma@aditiconsulting.com</t>
  </si>
  <si>
    <t>ASIPL3594</t>
  </si>
  <si>
    <t>Deepak Chandwani</t>
  </si>
  <si>
    <t>chandwani.d@outlook.com</t>
  </si>
  <si>
    <t>ASIPL3596</t>
  </si>
  <si>
    <t>Ankita Sharma</t>
  </si>
  <si>
    <t>ankita.sharma@aditiconsulting.com</t>
  </si>
  <si>
    <t>Senior Developer</t>
  </si>
  <si>
    <t>ASIPL3607</t>
  </si>
  <si>
    <t>Emani Sudhakar</t>
  </si>
  <si>
    <t>leosudhs@gmail.com</t>
  </si>
  <si>
    <t>ASIPL3609</t>
  </si>
  <si>
    <t>S Vijay</t>
  </si>
  <si>
    <t>vijaysekar4414@gmail.com</t>
  </si>
  <si>
    <t>Mindsprint</t>
  </si>
  <si>
    <t>Senior Database Developer</t>
  </si>
  <si>
    <t>ASIPL3612</t>
  </si>
  <si>
    <t>Girish Morab</t>
  </si>
  <si>
    <t>girishmo@gmail.com</t>
  </si>
  <si>
    <t>ASIPL3615</t>
  </si>
  <si>
    <t>Keerthana Ganesh Moolya</t>
  </si>
  <si>
    <t>keerthana.moolya@aditiconsulting.com</t>
  </si>
  <si>
    <t>Relocating</t>
  </si>
  <si>
    <t>ASIPL3626</t>
  </si>
  <si>
    <t>Ranjitha D</t>
  </si>
  <si>
    <t>ranjithachowdary22@gmail.com</t>
  </si>
  <si>
    <t>Senior Talent Acquisition Specialist</t>
  </si>
  <si>
    <t>ASIPL3630</t>
  </si>
  <si>
    <t>Ritesh Bahadur</t>
  </si>
  <si>
    <t>singhritesh20118113@gmail.com</t>
  </si>
  <si>
    <t>ASIPL3641</t>
  </si>
  <si>
    <t>Malathi R</t>
  </si>
  <si>
    <t>r.malathikrishnan@gmail.com</t>
  </si>
  <si>
    <t>ASIPL3659</t>
  </si>
  <si>
    <t>Balamurugan H</t>
  </si>
  <si>
    <t>bala.murugantopost@gmail.com</t>
  </si>
  <si>
    <t>ASIPL3661</t>
  </si>
  <si>
    <t>Harsh Chowdhary</t>
  </si>
  <si>
    <t>chowdhary.harsh@gmail.com</t>
  </si>
  <si>
    <t>Senior Financial Analyst</t>
  </si>
  <si>
    <t>ASIPL3663</t>
  </si>
  <si>
    <t>Soumya Shree Ramani</t>
  </si>
  <si>
    <t>soumyashree.r@gmail.com</t>
  </si>
  <si>
    <t>Sr Technical Writer</t>
  </si>
  <si>
    <t>ASIPL3666</t>
  </si>
  <si>
    <t>Pooja Chinchali</t>
  </si>
  <si>
    <t>pooja.chinchal@gmail.com</t>
  </si>
  <si>
    <t>Senior Quality Analyst</t>
  </si>
  <si>
    <t>Layoff</t>
  </si>
  <si>
    <t>ASIPL3668</t>
  </si>
  <si>
    <t>Arora Saurabh Kumar Kheratilal</t>
  </si>
  <si>
    <t>saurabhkumar.arora@aditiconsulting.com</t>
  </si>
  <si>
    <t>ASIPL3672</t>
  </si>
  <si>
    <t>Subramani T</t>
  </si>
  <si>
    <t>subu3399@gmail.com</t>
  </si>
  <si>
    <t>Senior Technical Sourcer - Program Manager.</t>
  </si>
  <si>
    <t>ASIPL3675</t>
  </si>
  <si>
    <t>Meghna Andrews</t>
  </si>
  <si>
    <t>meghnaa555@gmail.com</t>
  </si>
  <si>
    <t>QA Tester III</t>
  </si>
  <si>
    <t>ASIPL3678</t>
  </si>
  <si>
    <t>Ganganapalli Fazurulla</t>
  </si>
  <si>
    <t>ganganapalli.fazurulla@aditiconsulting.com</t>
  </si>
  <si>
    <t>Lead Developer</t>
  </si>
  <si>
    <t>ASIPL3683</t>
  </si>
  <si>
    <t>GAYATRI PRASAD</t>
  </si>
  <si>
    <t>gayatriritu456@gmail.com</t>
  </si>
  <si>
    <t>Monetization Operations Associate - Pricing</t>
  </si>
  <si>
    <t>ASIPL3685</t>
  </si>
  <si>
    <t>Pushpanjali B</t>
  </si>
  <si>
    <t>pbohora3@gmail.com</t>
  </si>
  <si>
    <t>ASIPL3688</t>
  </si>
  <si>
    <t>Roslinmary Joseph Edward John</t>
  </si>
  <si>
    <t>uginrose.mj@gmail.com</t>
  </si>
  <si>
    <t>Senior Drupal Developer</t>
  </si>
  <si>
    <t>ASIPL3696</t>
  </si>
  <si>
    <t>Sriram Girish</t>
  </si>
  <si>
    <t>sriram.girish1080@gmail.com</t>
  </si>
  <si>
    <t>Sr Business Analyst (Wealth Management)</t>
  </si>
  <si>
    <t>ASIPL3697</t>
  </si>
  <si>
    <t>Rishiraj Sharma</t>
  </si>
  <si>
    <t>rishirajsharma@aditiconsulting.com</t>
  </si>
  <si>
    <t>ASIPL3701</t>
  </si>
  <si>
    <t>Tarun Singh</t>
  </si>
  <si>
    <t>tarun.singh@aditiconsulting.com</t>
  </si>
  <si>
    <t>ASIPL3705</t>
  </si>
  <si>
    <t>Khizar Heyat Khan</t>
  </si>
  <si>
    <t>khizarkhans519@gmail.com</t>
  </si>
  <si>
    <t>ASIPL3706</t>
  </si>
  <si>
    <t>Jithu B</t>
  </si>
  <si>
    <t>jithu.b007@gmail.com</t>
  </si>
  <si>
    <t>ASIPL3716</t>
  </si>
  <si>
    <t>VIGNESH WARAN R</t>
  </si>
  <si>
    <t>reachouttome.vr@gmail.com</t>
  </si>
  <si>
    <t>Product Owner (Digital Sales)</t>
  </si>
  <si>
    <t>ASIPL3721</t>
  </si>
  <si>
    <t>Shikhar Bangre</t>
  </si>
  <si>
    <t>shikharbangre1999@gmail.com</t>
  </si>
  <si>
    <t>ASIPL3723</t>
  </si>
  <si>
    <t>Abhishek Nama</t>
  </si>
  <si>
    <t>nama.abhishek@gmail.com</t>
  </si>
  <si>
    <t>Sr. Program Manager Tech 3</t>
  </si>
  <si>
    <t>ASIPL3728</t>
  </si>
  <si>
    <t>Anjali Gupta</t>
  </si>
  <si>
    <t>anjali.gupta@aditiconsulting.com</t>
  </si>
  <si>
    <t>ASIPL3734</t>
  </si>
  <si>
    <t>Yogobit Chatterjee</t>
  </si>
  <si>
    <t>yogobit@gmail.com</t>
  </si>
  <si>
    <t>Senior Business System Analyst</t>
  </si>
  <si>
    <t>ASIPL3735</t>
  </si>
  <si>
    <t>Pankaj Mamgain</t>
  </si>
  <si>
    <t>mamgain1994@gmail.com</t>
  </si>
  <si>
    <t>L&amp;D Specialist</t>
  </si>
  <si>
    <t>ASIPL3744</t>
  </si>
  <si>
    <t>Bhavesh Jain</t>
  </si>
  <si>
    <t>bhavjayin@gmail.com</t>
  </si>
  <si>
    <t>Senior Data &amp; Business Analyst</t>
  </si>
  <si>
    <t>ASIPL3745</t>
  </si>
  <si>
    <t>Vishakha Kailash Nikhare</t>
  </si>
  <si>
    <t>vishakhanikhare1995@gmail.com</t>
  </si>
  <si>
    <t>Senior Business Analyst</t>
  </si>
  <si>
    <t>ASIPL3748</t>
  </si>
  <si>
    <t>Sibghathullah M</t>
  </si>
  <si>
    <t>m.sibghathullah@gmail.com</t>
  </si>
  <si>
    <t>ASIPL3754</t>
  </si>
  <si>
    <t>Rahul Vijay Thapa</t>
  </si>
  <si>
    <t>rahul.thapa@aditiconsulting.com</t>
  </si>
  <si>
    <t>ASIPL3757</t>
  </si>
  <si>
    <t>Jatin Agrawal</t>
  </si>
  <si>
    <t>jatin.agrawal@aditiconsulting.com</t>
  </si>
  <si>
    <t>ASIPL3759</t>
  </si>
  <si>
    <t>Hardik Dineshbhai Sarvaiya</t>
  </si>
  <si>
    <t>hardik.sarvaiya@aditiconsulting.com</t>
  </si>
  <si>
    <t>ASIPL3760</t>
  </si>
  <si>
    <t>Pratham Suresh Rawat</t>
  </si>
  <si>
    <t>pratham.rawat@aditiconsulting.com</t>
  </si>
  <si>
    <t>ASIPL3769</t>
  </si>
  <si>
    <t>Amit Sharma</t>
  </si>
  <si>
    <t>amit.sharma@aditiconsulting.com</t>
  </si>
  <si>
    <t>ASIPL3773</t>
  </si>
  <si>
    <t>Ayushi Jain</t>
  </si>
  <si>
    <t>ayushi.jain@aditiconsulting.com</t>
  </si>
  <si>
    <t>ASIPL3775</t>
  </si>
  <si>
    <t>Nishchitha P Uchil</t>
  </si>
  <si>
    <t>nishchitha.uchil@gmail.com</t>
  </si>
  <si>
    <t>ASIPL3777</t>
  </si>
  <si>
    <t>Riya Kumari</t>
  </si>
  <si>
    <t>riya.kumari@aditiconsulting.com</t>
  </si>
  <si>
    <t>ASIPL3779</t>
  </si>
  <si>
    <t>K Pavithra Meena</t>
  </si>
  <si>
    <t>pavithra.meena@aditiconsulting.com</t>
  </si>
  <si>
    <t>ASIPL3787</t>
  </si>
  <si>
    <t>Aniruddha Roy</t>
  </si>
  <si>
    <t>aniruddha.roy@aditiconsulting.com</t>
  </si>
  <si>
    <t>Misconduct</t>
  </si>
  <si>
    <t>ASIPL3795</t>
  </si>
  <si>
    <t>Abhay Kumar</t>
  </si>
  <si>
    <t>abhaykumarnsd9397@gmail.com</t>
  </si>
  <si>
    <t>ASIPL3799</t>
  </si>
  <si>
    <t>Revathi Vegi</t>
  </si>
  <si>
    <t>vegirevathi@gmail.com</t>
  </si>
  <si>
    <t>ASIPL3802</t>
  </si>
  <si>
    <t>Apparajita Das</t>
  </si>
  <si>
    <t>aparajeta@gmail.com</t>
  </si>
  <si>
    <t>Business Administrator</t>
  </si>
  <si>
    <t>ASIPL3804</t>
  </si>
  <si>
    <t>Dhruvi Kanaiyabhai Panchal</t>
  </si>
  <si>
    <t>dhruvi.panchal@aditiconsulting.com</t>
  </si>
  <si>
    <t>ASIPL3805</t>
  </si>
  <si>
    <t>Vishal Dharmendrabhai Prajapati</t>
  </si>
  <si>
    <t>vishalkumar.prajapati@aditiconsulting.com</t>
  </si>
  <si>
    <t>ASIPL3809</t>
  </si>
  <si>
    <t>B Kuldeep Singh</t>
  </si>
  <si>
    <t>kp790042@gmail.com</t>
  </si>
  <si>
    <t>ASIPL3811</t>
  </si>
  <si>
    <t>ASHISH ANANT SHAH</t>
  </si>
  <si>
    <t>ashish.gb@yahoo.com</t>
  </si>
  <si>
    <t>Senior Technical Program Manager</t>
  </si>
  <si>
    <t>ASIPL3818</t>
  </si>
  <si>
    <t>Utkarsh Ajay Saxena</t>
  </si>
  <si>
    <t>utkarsh427@gmail.com</t>
  </si>
  <si>
    <t>Organization Resizing</t>
  </si>
  <si>
    <t>ASIPL3819</t>
  </si>
  <si>
    <t>Rahul Anilbhai Patel</t>
  </si>
  <si>
    <t>rahul.8@live.com</t>
  </si>
  <si>
    <t>Lead Software Developer</t>
  </si>
  <si>
    <t>ASIPL3824</t>
  </si>
  <si>
    <t>Keerthana M</t>
  </si>
  <si>
    <t>keerthi313107@gmail.com</t>
  </si>
  <si>
    <t>Senior Administrative Assistant</t>
  </si>
  <si>
    <t>ASIPL3827</t>
  </si>
  <si>
    <t>Meghana L A</t>
  </si>
  <si>
    <t>meghana.la@aditiconsulting.com</t>
  </si>
  <si>
    <t>ASIPL3829</t>
  </si>
  <si>
    <t>Nikhil S M</t>
  </si>
  <si>
    <t>nikhilsm065@gmail.com</t>
  </si>
  <si>
    <t>Technical Support Engineer</t>
  </si>
  <si>
    <t>ramkrishna.biswas@aditiconsulting.com</t>
  </si>
  <si>
    <t>Senior Technical Project Manager</t>
  </si>
  <si>
    <t>Family Reasons</t>
  </si>
  <si>
    <t>ASIPL3832</t>
  </si>
  <si>
    <t>Bharath H Kamath</t>
  </si>
  <si>
    <t>bharath.kamath@aditiconsulting.com</t>
  </si>
  <si>
    <t>ASIPL3842</t>
  </si>
  <si>
    <t>Aneesh Ratheesan Nair</t>
  </si>
  <si>
    <t>aneesh.nair@aditiconsulting.com</t>
  </si>
  <si>
    <t>ASIPL3843</t>
  </si>
  <si>
    <t>Trina Sadhukhan</t>
  </si>
  <si>
    <t>trina.sadhukhan22@gmail.com</t>
  </si>
  <si>
    <t>ASIPL3854</t>
  </si>
  <si>
    <t>NIRMALKUMAR RAVICHANDRAN</t>
  </si>
  <si>
    <t>rnirmal88@gmail.com</t>
  </si>
  <si>
    <t>ASIPL3856</t>
  </si>
  <si>
    <t>Darshan Anchan</t>
  </si>
  <si>
    <t>darshan.anchan@aditiconsulting.com</t>
  </si>
  <si>
    <t>Payroll Coordinator</t>
  </si>
  <si>
    <t>ASIPL3859</t>
  </si>
  <si>
    <t>Parag Bhatt</t>
  </si>
  <si>
    <t>paragbhatt151@gmail.com</t>
  </si>
  <si>
    <t>Lead Salesforce Developer</t>
  </si>
  <si>
    <t>ASIPL3868</t>
  </si>
  <si>
    <t>Khushal Bhartia</t>
  </si>
  <si>
    <t>khushalsfdc@gmail.com</t>
  </si>
  <si>
    <t>Senior Salesforce Developer</t>
  </si>
  <si>
    <t>ASIPL3871</t>
  </si>
  <si>
    <t>Shaikh Salman</t>
  </si>
  <si>
    <t>shaikh.salman@aditiconsulting.com</t>
  </si>
  <si>
    <t>ASIPL3872</t>
  </si>
  <si>
    <t>Adarsh G K</t>
  </si>
  <si>
    <t>adarshgk@aditiconsulting.com</t>
  </si>
  <si>
    <t>Technical Project Manager</t>
  </si>
  <si>
    <t>ASIPL3877</t>
  </si>
  <si>
    <t>Rajbir Singh</t>
  </si>
  <si>
    <t>rajbir.singh@aditiconsulting.com</t>
  </si>
  <si>
    <t>ASIPL3878</t>
  </si>
  <si>
    <t>Reena Mary J</t>
  </si>
  <si>
    <t>reenajohn2206@gmail.com</t>
  </si>
  <si>
    <t>ASIPL3880</t>
  </si>
  <si>
    <t>Naveen Kumar Eranti</t>
  </si>
  <si>
    <t>naveen.e44@gmail.com</t>
  </si>
  <si>
    <t>Senior Finance Manager</t>
  </si>
  <si>
    <t>ASIPL3884</t>
  </si>
  <si>
    <t>Nithin Jose</t>
  </si>
  <si>
    <t>nithinjose6.0@gmail.com</t>
  </si>
  <si>
    <t>ASIPL3885</t>
  </si>
  <si>
    <t>Rahul Kumar</t>
  </si>
  <si>
    <t>rahulkr3885@gmail.com</t>
  </si>
  <si>
    <t>Associate Software Engineer</t>
  </si>
  <si>
    <t>ASIPL3887</t>
  </si>
  <si>
    <t>Ritu Lalvani</t>
  </si>
  <si>
    <t>ritu.lalvani@aditiconsulting.com</t>
  </si>
  <si>
    <t>ASIPL3896</t>
  </si>
  <si>
    <t>Shweta Atul Singh</t>
  </si>
  <si>
    <t>shwetatulsingh@gmail.com</t>
  </si>
  <si>
    <t>ASIPL3897</t>
  </si>
  <si>
    <t>Saravanan S</t>
  </si>
  <si>
    <t>ssaravanan22032001@gmail.com</t>
  </si>
  <si>
    <t>ASIPL3898</t>
  </si>
  <si>
    <t>Akilavarthini A</t>
  </si>
  <si>
    <t>aakilavarthini1@gmail.com</t>
  </si>
  <si>
    <t>ASIPL3903</t>
  </si>
  <si>
    <t>HARIHARAN CHANDRASEKAR</t>
  </si>
  <si>
    <t>hariharan.chandr@gmail.com</t>
  </si>
  <si>
    <t>ASIPL3904</t>
  </si>
  <si>
    <t>Bhagyashri Shantaram Lokhande</t>
  </si>
  <si>
    <t>bhagyashri@aditiconsulting.com</t>
  </si>
  <si>
    <t>ASIPL3910</t>
  </si>
  <si>
    <t>Mounica Valandas Ramesh</t>
  </si>
  <si>
    <t>monicavalandas@gmail.com</t>
  </si>
  <si>
    <t>Senior Project Manager</t>
  </si>
  <si>
    <t>ASIPL3912</t>
  </si>
  <si>
    <t>Amit Sudhir Mahalankar</t>
  </si>
  <si>
    <t>iasmahalankar@outlook.com</t>
  </si>
  <si>
    <t>ASIPL3918</t>
  </si>
  <si>
    <t>Bishwarup Dutta</t>
  </si>
  <si>
    <t>bishwarup.dutta@aditiconsulting.com</t>
  </si>
  <si>
    <t>ASIPL3926</t>
  </si>
  <si>
    <t>Viraat Kumar</t>
  </si>
  <si>
    <t>viraat.kumar7@gmail.com</t>
  </si>
  <si>
    <t>ASIPL3927</t>
  </si>
  <si>
    <t>Osuru sairam</t>
  </si>
  <si>
    <t>ramubellamkonda97@gmail.com</t>
  </si>
  <si>
    <t>ASIPL3929</t>
  </si>
  <si>
    <t>Sudhir Kumar</t>
  </si>
  <si>
    <t>sudhir.kumar@aditiconsulting.com</t>
  </si>
  <si>
    <t>ASIPL3932</t>
  </si>
  <si>
    <t>Ramaganesh K</t>
  </si>
  <si>
    <t>ramaganeshkaliappan@gmail.com</t>
  </si>
  <si>
    <t>Full stack Developer IV</t>
  </si>
  <si>
    <t>ASIPL3935</t>
  </si>
  <si>
    <t>Ujjwal Sinha Mahapatra</t>
  </si>
  <si>
    <t>usmahapatra@gmail.com</t>
  </si>
  <si>
    <t>ASIPL3937</t>
  </si>
  <si>
    <t>Ankita Yadav</t>
  </si>
  <si>
    <t>ankita.yadav.we@gmail.com</t>
  </si>
  <si>
    <t>Talent Acquisition - HR</t>
  </si>
  <si>
    <t>ASIPL3938</t>
  </si>
  <si>
    <t>Taniya Gope</t>
  </si>
  <si>
    <t>taniyagope777@gmail.com</t>
  </si>
  <si>
    <t>Stress Testing Manager</t>
  </si>
  <si>
    <t>ASIPL3943</t>
  </si>
  <si>
    <t>pankaj.gupta@aditiconsulting.com</t>
  </si>
  <si>
    <t>ASIPL3948</t>
  </si>
  <si>
    <t>Dulal Deb</t>
  </si>
  <si>
    <t>dulaldeb2323@gmail.com</t>
  </si>
  <si>
    <t>Sr UX Engineer</t>
  </si>
  <si>
    <t>ASIPL3949</t>
  </si>
  <si>
    <t>Anjani Kushwaha</t>
  </si>
  <si>
    <t>anjkus27@gmail.com</t>
  </si>
  <si>
    <t>SDE-1</t>
  </si>
  <si>
    <t>ASIPL3955</t>
  </si>
  <si>
    <t>Vaibhav Bibhishan Waikar</t>
  </si>
  <si>
    <t>vaibhavwaikar63@gmail.com</t>
  </si>
  <si>
    <t>ASIPL3956</t>
  </si>
  <si>
    <t>Anil Sakhare</t>
  </si>
  <si>
    <t>anilsakhare86@gmail.com</t>
  </si>
  <si>
    <t>ASIPL3958</t>
  </si>
  <si>
    <t>SNEHA GANESH</t>
  </si>
  <si>
    <t>snehaganesh1997@gmail.com</t>
  </si>
  <si>
    <t>ASIPL3963</t>
  </si>
  <si>
    <t>Rajamani S</t>
  </si>
  <si>
    <t>design.rajamanis@gmail.com</t>
  </si>
  <si>
    <t>ASIPL3968</t>
  </si>
  <si>
    <t>Roopchand DL</t>
  </si>
  <si>
    <t>roopchand.dl@aditiconsulting.com</t>
  </si>
  <si>
    <t>Visual Data Model Designer</t>
  </si>
  <si>
    <t>ASIPL3969</t>
  </si>
  <si>
    <t>Ravi Bhushan Singh</t>
  </si>
  <si>
    <t>ravi.bhushan@aditiconsulting.com</t>
  </si>
  <si>
    <t>Graphic Designer</t>
  </si>
  <si>
    <t>ASIPL3970</t>
  </si>
  <si>
    <t>Tejas Babayya Gajapolu</t>
  </si>
  <si>
    <t>gajapolutejas@gmail.com</t>
  </si>
  <si>
    <t>Accounts Receivable Specialist</t>
  </si>
  <si>
    <t>ASIPL3971</t>
  </si>
  <si>
    <t>Sanskar Agrawal</t>
  </si>
  <si>
    <t>sanskaragrawal0024@gmail.com</t>
  </si>
  <si>
    <t>Recruitment Coordinator</t>
  </si>
  <si>
    <t>ASIPL3976</t>
  </si>
  <si>
    <t>Sajan Madaan</t>
  </si>
  <si>
    <t>madanraghav7@gmail.com</t>
  </si>
  <si>
    <t>ASIPL3979</t>
  </si>
  <si>
    <t>Tirumala Mohan Krishna</t>
  </si>
  <si>
    <t>krishna.466mohan@gmail.com</t>
  </si>
  <si>
    <t>Data Migration Analyst</t>
  </si>
  <si>
    <t>ASIPL3981</t>
  </si>
  <si>
    <t>ABHAY TIWARI</t>
  </si>
  <si>
    <t>abhaytiwaristn@gmail.com</t>
  </si>
  <si>
    <t>ASIPL3983</t>
  </si>
  <si>
    <t>ROZI SINGH</t>
  </si>
  <si>
    <t>rozisinghjadaun@gmail.com</t>
  </si>
  <si>
    <t>Catalog Analyst</t>
  </si>
  <si>
    <t>ASIPL3984</t>
  </si>
  <si>
    <t>Nishu Pandey</t>
  </si>
  <si>
    <t>nishu.pawanpandey@gmail.com</t>
  </si>
  <si>
    <t>ASIPL3985</t>
  </si>
  <si>
    <t>Anamika Singh</t>
  </si>
  <si>
    <t>singh.anamika5007@gmail.com</t>
  </si>
  <si>
    <t>ASIPL3987</t>
  </si>
  <si>
    <t>Smruthi M</t>
  </si>
  <si>
    <t>smruthim17@gmail.com</t>
  </si>
  <si>
    <t>ASIPL3988</t>
  </si>
  <si>
    <t>T Rishika</t>
  </si>
  <si>
    <t>rishikatiwari2024@gmail.com</t>
  </si>
  <si>
    <t>Senior Accounting (Accounts Payable)</t>
  </si>
  <si>
    <t>ASIPL3989</t>
  </si>
  <si>
    <t>SRINIVASAN KRISHNASWAMY</t>
  </si>
  <si>
    <t>srinivasan.credence@gmail.com</t>
  </si>
  <si>
    <t>ASIPL3990</t>
  </si>
  <si>
    <t>Ritu Agrawal</t>
  </si>
  <si>
    <t>rituag2023@gmail.com</t>
  </si>
  <si>
    <t>Program Manager Level IV</t>
  </si>
  <si>
    <t>ASIPL3991</t>
  </si>
  <si>
    <t>Ambati Nickel Noel</t>
  </si>
  <si>
    <t>ambati.nickel@aditiconsulting.com</t>
  </si>
  <si>
    <t>ASIPL3992</t>
  </si>
  <si>
    <t>Ashish Singh</t>
  </si>
  <si>
    <t>ashish9122singh@gmail.com</t>
  </si>
  <si>
    <t>Senior Resource Manager</t>
  </si>
  <si>
    <t>ASIPL3994</t>
  </si>
  <si>
    <t>Rajat Hegde</t>
  </si>
  <si>
    <t>rajathegde999@gmail.com</t>
  </si>
  <si>
    <t>ASIPL4002</t>
  </si>
  <si>
    <t>SAURABH SINGH</t>
  </si>
  <si>
    <t>sssingh2061@gmail.com</t>
  </si>
  <si>
    <t>ASIPL4004</t>
  </si>
  <si>
    <t>Spoorthi C Abbar</t>
  </si>
  <si>
    <t>spoorthimobileqa@gmail.com</t>
  </si>
  <si>
    <t>Senior QA Engineer</t>
  </si>
  <si>
    <t>ASIPL4005</t>
  </si>
  <si>
    <t>Ishani Bahukhandi</t>
  </si>
  <si>
    <t>ishanibahu1999@gmail.com</t>
  </si>
  <si>
    <t>Senior Talent Acquisition - HR</t>
  </si>
  <si>
    <t>ASIPL4006</t>
  </si>
  <si>
    <t>Aravind V R</t>
  </si>
  <si>
    <t>aravindvijay2@gmail.com</t>
  </si>
  <si>
    <t>ASIPL4008</t>
  </si>
  <si>
    <t>Sourabh Jat</t>
  </si>
  <si>
    <t>saurabh.12jat@gmail.com</t>
  </si>
  <si>
    <t>Full Stack Developer III</t>
  </si>
  <si>
    <t>Policy Violation</t>
  </si>
  <si>
    <t>ASIPL4009</t>
  </si>
  <si>
    <t>Vishnu Vardhan Reddy S</t>
  </si>
  <si>
    <t>vishnu.vardhan@aditiconsulting.com</t>
  </si>
  <si>
    <t>ASIPL4018</t>
  </si>
  <si>
    <t>Ajay Desigan K</t>
  </si>
  <si>
    <t>ajaydesigan369@gmail.com</t>
  </si>
  <si>
    <t>Quality Assurance Engineer III</t>
  </si>
  <si>
    <t>ASIPL4022</t>
  </si>
  <si>
    <t>Amal George</t>
  </si>
  <si>
    <t>amalgk007@gmail.com</t>
  </si>
  <si>
    <t>Supply Chain &amp; Finance Analyst</t>
  </si>
  <si>
    <t>ASIPL4026</t>
  </si>
  <si>
    <t>Nitesh Gupta</t>
  </si>
  <si>
    <t>guptanitesh1000@gmail.com</t>
  </si>
  <si>
    <t>ASIPL4028</t>
  </si>
  <si>
    <t>Akhilesh Mandoli</t>
  </si>
  <si>
    <t>mandoli.akhilesh01@gmail.com</t>
  </si>
  <si>
    <t>ASIPL4030</t>
  </si>
  <si>
    <t>Pranmay Jain</t>
  </si>
  <si>
    <t>pranmayjain123@gmail.com</t>
  </si>
  <si>
    <t>Catlog Analyst</t>
  </si>
  <si>
    <t>ASIPL4033</t>
  </si>
  <si>
    <t>Karthik Naganna</t>
  </si>
  <si>
    <t>nkarthick444@gmail.com</t>
  </si>
  <si>
    <t>ASIPL4037</t>
  </si>
  <si>
    <t>Bhavya S</t>
  </si>
  <si>
    <t>bhavya.patil.b@gmail.com</t>
  </si>
  <si>
    <t>Senior Technical Writer</t>
  </si>
  <si>
    <t>ASIPL4040</t>
  </si>
  <si>
    <t>Sai Teja Chakka</t>
  </si>
  <si>
    <t>saitejaguptha1239@gmail.com</t>
  </si>
  <si>
    <t>Senior Supply Chain Analyst</t>
  </si>
  <si>
    <t>ASIPL4042</t>
  </si>
  <si>
    <t>Vignesh .</t>
  </si>
  <si>
    <t>vignesh.p@aditiconsulting.com</t>
  </si>
  <si>
    <t>Python Developer</t>
  </si>
  <si>
    <t>ASIPL4044</t>
  </si>
  <si>
    <t>Jeni Immaculate</t>
  </si>
  <si>
    <t>jeniimmaculate17@gmail.com</t>
  </si>
  <si>
    <t>Senior Tax Analyst</t>
  </si>
  <si>
    <t>ASIPL4048</t>
  </si>
  <si>
    <t>Manisha</t>
  </si>
  <si>
    <t>manisha@aditiconsulting.com</t>
  </si>
  <si>
    <t>ASIPL4051</t>
  </si>
  <si>
    <t>Ashish Vilas Bonde</t>
  </si>
  <si>
    <t>ashish.vilas@aditiconsulting.com</t>
  </si>
  <si>
    <t>German Technical Writer &amp; Data Engineer</t>
  </si>
  <si>
    <t>Fixed Term Contract</t>
  </si>
  <si>
    <t>ASIPL4062</t>
  </si>
  <si>
    <t>Milan Sharma</t>
  </si>
  <si>
    <t>sharmamilan15121995@gmail.com</t>
  </si>
  <si>
    <t>ASIPL4064</t>
  </si>
  <si>
    <t>Siddhartha Nayak</t>
  </si>
  <si>
    <t>siddhartha.nayak@aditiconsulting.com</t>
  </si>
  <si>
    <t>ASIPL4065</t>
  </si>
  <si>
    <t>Jothika R</t>
  </si>
  <si>
    <t>rjothika18@gmail.com</t>
  </si>
  <si>
    <t>Reporting &amp; Visualisation Analyst</t>
  </si>
  <si>
    <t>ASIPL4066</t>
  </si>
  <si>
    <t>Darshan K H</t>
  </si>
  <si>
    <t>darsh.rfj19@gmail.com</t>
  </si>
  <si>
    <t>ASIPL4068</t>
  </si>
  <si>
    <t>Sudeshna Saha</t>
  </si>
  <si>
    <t>sudeshnasaha090@gmail.com</t>
  </si>
  <si>
    <t>Senior Salesforce Administrator</t>
  </si>
  <si>
    <t>ASIPL4070</t>
  </si>
  <si>
    <t>Dipesh Bist</t>
  </si>
  <si>
    <t>dipesh.bist@gmail.com</t>
  </si>
  <si>
    <t>ASIPL4071</t>
  </si>
  <si>
    <t>Kartikeya Mishra</t>
  </si>
  <si>
    <t>kartikeya2012@gmail.com</t>
  </si>
  <si>
    <t>ASIPL4073</t>
  </si>
  <si>
    <t>Shashank Sanket</t>
  </si>
  <si>
    <t>workwithshashanksanket@gmail.com</t>
  </si>
  <si>
    <t>QA tester</t>
  </si>
  <si>
    <t>ASIPL4074</t>
  </si>
  <si>
    <t>Rashmi D Misale</t>
  </si>
  <si>
    <t>rmisale1@gmail.com</t>
  </si>
  <si>
    <t>Manual QA Lead</t>
  </si>
  <si>
    <t>ASIPL4075</t>
  </si>
  <si>
    <t>Silpi Lohani</t>
  </si>
  <si>
    <t>lohanisilpi92@gmail.com</t>
  </si>
  <si>
    <t>Lead QA Engineer</t>
  </si>
  <si>
    <t>ASIPL4076</t>
  </si>
  <si>
    <t>Steffi Agarwal</t>
  </si>
  <si>
    <t>steffi.agarwal@aditiconsulting.com</t>
  </si>
  <si>
    <t>ASIPL4077</t>
  </si>
  <si>
    <t>Yogananda Reddy Mekala</t>
  </si>
  <si>
    <t>yogananda0548@gmail.com</t>
  </si>
  <si>
    <t>Performance QA Lead</t>
  </si>
  <si>
    <t>ASIPL4079</t>
  </si>
  <si>
    <t>Umasankar T S</t>
  </si>
  <si>
    <t>umasankar.tsj@gmail.com</t>
  </si>
  <si>
    <t>ASIPL4081</t>
  </si>
  <si>
    <t>Gokul Krishnan</t>
  </si>
  <si>
    <t>krishnangokul151@gmail.com</t>
  </si>
  <si>
    <t>Senior Implementation Specialist</t>
  </si>
  <si>
    <t>ASIPL4086</t>
  </si>
  <si>
    <t>Vulsey Sriharsha</t>
  </si>
  <si>
    <t>sriharsha.vulsey11@gmail.com</t>
  </si>
  <si>
    <t>Sales Operations Associate</t>
  </si>
  <si>
    <t>ASIPL4092</t>
  </si>
  <si>
    <t>Andrew Jayakumar Vijayagandhi Rajendiran</t>
  </si>
  <si>
    <t>andrew.jayakumar@aditiconsulting.com</t>
  </si>
  <si>
    <t>Senior Python Developer</t>
  </si>
  <si>
    <t>ASIPL4093</t>
  </si>
  <si>
    <t>Modium Narendra</t>
  </si>
  <si>
    <t>modium.narendra@aditiconsulting.com</t>
  </si>
  <si>
    <t>ASIPL4095</t>
  </si>
  <si>
    <t>Roopashree R</t>
  </si>
  <si>
    <t>roopashree.r@aditiconsulting.com</t>
  </si>
  <si>
    <t>ASIPL4098</t>
  </si>
  <si>
    <t>Museer Ahamad Ansari</t>
  </si>
  <si>
    <t>museeransari786@gmail.com</t>
  </si>
  <si>
    <t>ASIPL4104</t>
  </si>
  <si>
    <t>Pathika Yogendra Reddy</t>
  </si>
  <si>
    <t>yogendrareddy218@gmail.com</t>
  </si>
  <si>
    <t>Automation tester</t>
  </si>
  <si>
    <t>ASIPL4119</t>
  </si>
  <si>
    <t>Vishesh Gwalani</t>
  </si>
  <si>
    <t>gwalanivishesh@gmail.com</t>
  </si>
  <si>
    <t>Business Process Analyst</t>
  </si>
  <si>
    <t>ASIPL4120</t>
  </si>
  <si>
    <t>Manjula S</t>
  </si>
  <si>
    <t>vaishnavi.sriram9@gmail.com</t>
  </si>
  <si>
    <t>Senior TA Specialist</t>
  </si>
  <si>
    <t>ASIPL4124</t>
  </si>
  <si>
    <t>Kirti .</t>
  </si>
  <si>
    <t>kirti@aditiconsulting.com</t>
  </si>
  <si>
    <t>ASIPL4126</t>
  </si>
  <si>
    <t>Dibyadarsi Mahapatra</t>
  </si>
  <si>
    <t>dibyadarsi.mahapatra@aditiconsulting.com</t>
  </si>
  <si>
    <t>Lead Data Engineer</t>
  </si>
  <si>
    <t>ASIPL4134</t>
  </si>
  <si>
    <t>Mallikarjun S S Arakeri</t>
  </si>
  <si>
    <t>mallikarjun.s@aditiconsulting.com</t>
  </si>
  <si>
    <t>Lead Software Engineer</t>
  </si>
  <si>
    <t>ASIPL4137</t>
  </si>
  <si>
    <t>Tirumalasetty Deepak Vallabh</t>
  </si>
  <si>
    <t>tdvallabh@gmail.com</t>
  </si>
  <si>
    <t>IT Product Manager V</t>
  </si>
  <si>
    <t>ASIPL4138</t>
  </si>
  <si>
    <t>Mohan Raj A</t>
  </si>
  <si>
    <t>mohanshivani90@gmail.com</t>
  </si>
  <si>
    <t>Office Assistant</t>
  </si>
  <si>
    <t>ASIPL4140</t>
  </si>
  <si>
    <t>J P Anwesh Hosamane</t>
  </si>
  <si>
    <t>anwesh.jp@aditiconsulting.com</t>
  </si>
  <si>
    <t>Lead Front End Developer</t>
  </si>
  <si>
    <t>ASIPL4143</t>
  </si>
  <si>
    <t>Challagundla Sai Mounika</t>
  </si>
  <si>
    <t>challagundla.mounika@aditiconsulting.com</t>
  </si>
  <si>
    <t>ASIPL4144</t>
  </si>
  <si>
    <t>Kovoor Prajwal</t>
  </si>
  <si>
    <t>kovoorprajwal@gmail.com</t>
  </si>
  <si>
    <t>Software Development Engineer IV</t>
  </si>
  <si>
    <t>ASIPL4148</t>
  </si>
  <si>
    <t>Priya Das</t>
  </si>
  <si>
    <t>priya.das01725@gmail.com</t>
  </si>
  <si>
    <t>HR Associate III</t>
  </si>
  <si>
    <t>ASIPL4150</t>
  </si>
  <si>
    <t>Kashmira Ajey Shiledar</t>
  </si>
  <si>
    <t>kashmira.shiledar@gmail.com</t>
  </si>
  <si>
    <t>ASIPL4154</t>
  </si>
  <si>
    <t>G Vishal</t>
  </si>
  <si>
    <t>gavirnivishal@gmail.com</t>
  </si>
  <si>
    <t>ASIPL4157</t>
  </si>
  <si>
    <t>Riddhi Jain</t>
  </si>
  <si>
    <t>riddhij969@gmail.com</t>
  </si>
  <si>
    <t>ASIPL4158</t>
  </si>
  <si>
    <t>Vijay Niranjan</t>
  </si>
  <si>
    <t>vnunique2025@gmail.com</t>
  </si>
  <si>
    <t>Data Engineer - |||</t>
  </si>
  <si>
    <t>ASIPL4160</t>
  </si>
  <si>
    <t>Gayatri Prakasha Hegde</t>
  </si>
  <si>
    <t>gayatrihegde008@gmail.com</t>
  </si>
  <si>
    <t>KYC Analyst</t>
  </si>
  <si>
    <t>ASIPL4168</t>
  </si>
  <si>
    <t>Jaspreet Kaur</t>
  </si>
  <si>
    <t>jaspreet.kaur@aditiconsulting.com</t>
  </si>
  <si>
    <t>Senior Account Manager</t>
  </si>
  <si>
    <t>Pratima Pardhanani</t>
  </si>
  <si>
    <t>ASIPL4169</t>
  </si>
  <si>
    <t>Jay Shankar Prasad</t>
  </si>
  <si>
    <t>jayshankar.prasadsit14@gmail.com</t>
  </si>
  <si>
    <t>ASIPL4176</t>
  </si>
  <si>
    <t>Thakkar Ishita Sagar</t>
  </si>
  <si>
    <t>ishitachokshi@gmail.com</t>
  </si>
  <si>
    <t>Lead Product Manager</t>
  </si>
  <si>
    <t>ASIPL4177</t>
  </si>
  <si>
    <t>Sanghani Binaben Chimanbhai</t>
  </si>
  <si>
    <t>sanghani.binaben@aditiconsulting.com</t>
  </si>
  <si>
    <t>WordPress Developer</t>
  </si>
  <si>
    <t>White stone</t>
  </si>
  <si>
    <t>ASIPL4185</t>
  </si>
  <si>
    <t>Md Khalid Shahzad</t>
  </si>
  <si>
    <t>khalidazam1997@gmail.com</t>
  </si>
  <si>
    <t>ASIPL4189</t>
  </si>
  <si>
    <t>Subham Divyajyoti</t>
  </si>
  <si>
    <t>divyajyoti.subham@gmail.com</t>
  </si>
  <si>
    <t>ASIPL4190</t>
  </si>
  <si>
    <t>Bhargav Rangapuram</t>
  </si>
  <si>
    <t>bhargav.rangapuram@aditiconsulting.com</t>
  </si>
  <si>
    <t>ASIPL4192</t>
  </si>
  <si>
    <t>Megha R</t>
  </si>
  <si>
    <t>megha.r@aditiconsulting.com</t>
  </si>
  <si>
    <t>Unsatisfied with Role</t>
  </si>
  <si>
    <t>ASIPL4197</t>
  </si>
  <si>
    <t>Kanishkaa Priyadarshi</t>
  </si>
  <si>
    <t>kanishkaa.justin@gmail.com</t>
  </si>
  <si>
    <t>Apprentice</t>
  </si>
  <si>
    <t>ASIPL4198</t>
  </si>
  <si>
    <t>Soundarya S Badiger</t>
  </si>
  <si>
    <t>soundaryasbadiger3@gmail.com</t>
  </si>
  <si>
    <t>ASIPL4199</t>
  </si>
  <si>
    <t>Spandan .</t>
  </si>
  <si>
    <t>spandanaims19@gmail.com</t>
  </si>
  <si>
    <t>ASIPL4203</t>
  </si>
  <si>
    <t>Challa Srilakshmi</t>
  </si>
  <si>
    <t>srilakshmichalla73@gmail.com</t>
  </si>
  <si>
    <t>ASIPL4204</t>
  </si>
  <si>
    <t>Neelima Kaushik</t>
  </si>
  <si>
    <t>neelima.kaushik2020@gmail.com</t>
  </si>
  <si>
    <t>Executive Assistant</t>
  </si>
  <si>
    <t>ASIPL4212</t>
  </si>
  <si>
    <t>Milind Jha</t>
  </si>
  <si>
    <t>jhamilind61@gmail.com</t>
  </si>
  <si>
    <t>ASIPL4213</t>
  </si>
  <si>
    <t>Bibhudatta Sahoo</t>
  </si>
  <si>
    <t>sbibhudatta28@gmail.com</t>
  </si>
  <si>
    <t>Java Backend Developer III</t>
  </si>
  <si>
    <t>ASIPL4214</t>
  </si>
  <si>
    <t>Manisha Panda</t>
  </si>
  <si>
    <t>iammanisha2305@gmail.com</t>
  </si>
  <si>
    <t>Senior Associate Firstpoint</t>
  </si>
  <si>
    <t>ASIPL4216</t>
  </si>
  <si>
    <t>Bharathi R</t>
  </si>
  <si>
    <t>bharathibharu1005@gmail.com</t>
  </si>
  <si>
    <t>Data Analyst - I</t>
  </si>
  <si>
    <t>ASIPL4217</t>
  </si>
  <si>
    <t>Madhubala Maruthaiyan</t>
  </si>
  <si>
    <t>madhuarjun26@gmail.com</t>
  </si>
  <si>
    <t>ASIPL4218</t>
  </si>
  <si>
    <t>Dhanush R</t>
  </si>
  <si>
    <t>rdhanush206@gmail.com</t>
  </si>
  <si>
    <t>ASIPL4223</t>
  </si>
  <si>
    <t>Ashish Shivpoojan Dubey</t>
  </si>
  <si>
    <t>dubeashish1@gmail.com</t>
  </si>
  <si>
    <t>ASIPL4226</t>
  </si>
  <si>
    <t>Pendkar Vijay</t>
  </si>
  <si>
    <t>vijaypendkar13@gmail.com</t>
  </si>
  <si>
    <t>ASIPL4233</t>
  </si>
  <si>
    <t>Katakam Venkata Madhusaudhan Rao</t>
  </si>
  <si>
    <t>venkatmrk1@gmail.com</t>
  </si>
  <si>
    <t>ASIPL4244</t>
  </si>
  <si>
    <t>Anu Goyal</t>
  </si>
  <si>
    <t>anu.goyal@aditiconsulting.com</t>
  </si>
  <si>
    <t>Sales</t>
  </si>
  <si>
    <t>ASIPL4245</t>
  </si>
  <si>
    <t>B Kevin Robert</t>
  </si>
  <si>
    <t>kevin.robert@aditiconsulting.com</t>
  </si>
  <si>
    <t>ASIPL4254</t>
  </si>
  <si>
    <t>Venkata Sri Harsha Somayajula</t>
  </si>
  <si>
    <t>venkata.sri@aditiconsulting.com</t>
  </si>
  <si>
    <t>Senior Software Development Process Engineer</t>
  </si>
  <si>
    <t>ASIPL4258</t>
  </si>
  <si>
    <t>Dilkush Sivappan</t>
  </si>
  <si>
    <t>dilkush.sivappan@aditiconsulting.com</t>
  </si>
  <si>
    <t>Embedded Cybersecurity</t>
  </si>
  <si>
    <t>ASIPL4261</t>
  </si>
  <si>
    <t>Chaitanya Kiran Chaudhari</t>
  </si>
  <si>
    <t>chaitanyakc8055@gmail.com</t>
  </si>
  <si>
    <t>ASIPL4269</t>
  </si>
  <si>
    <t>Rohit Kumar Meher</t>
  </si>
  <si>
    <t>rohit.kumar@aditiconsulting.com</t>
  </si>
  <si>
    <t>ASIPL4273</t>
  </si>
  <si>
    <t>Shravani T</t>
  </si>
  <si>
    <t>shravanit19092002@gmail.com</t>
  </si>
  <si>
    <t>ASIPL4275</t>
  </si>
  <si>
    <t>Syed Sadiq</t>
  </si>
  <si>
    <t>sadiqsyed842@gmail.com</t>
  </si>
  <si>
    <t>ASIPL4281</t>
  </si>
  <si>
    <t>Moses John Jayanth Kumar</t>
  </si>
  <si>
    <t>mosesjohnjayanthkumar@gmail.com</t>
  </si>
  <si>
    <t>ASIPL4283</t>
  </si>
  <si>
    <t>Akshay M Totager</t>
  </si>
  <si>
    <t>totagerakshay@gmail.com</t>
  </si>
  <si>
    <t>ASIPL4284</t>
  </si>
  <si>
    <t>Sandeep N</t>
  </si>
  <si>
    <t>sandeepdio2123@gmail.com</t>
  </si>
  <si>
    <t>ASIPL4285</t>
  </si>
  <si>
    <t>Seema Rai</t>
  </si>
  <si>
    <t>seemapriya198@gmail.com</t>
  </si>
  <si>
    <t>ASIPL4297</t>
  </si>
  <si>
    <t>Muktha M</t>
  </si>
  <si>
    <t>mukthashree0000@gmail.com</t>
  </si>
  <si>
    <t>Candidate Backed Out</t>
  </si>
  <si>
    <t>ASIPL4306</t>
  </si>
  <si>
    <t>Mayur Kanodia</t>
  </si>
  <si>
    <t>mayurkanodia22@gmail.com</t>
  </si>
  <si>
    <t>ASIPL4311</t>
  </si>
  <si>
    <t>Yandrapu Gopi Krishna</t>
  </si>
  <si>
    <t>gopiyandrapu@gmail.com</t>
  </si>
  <si>
    <t>ASIPL4312</t>
  </si>
  <si>
    <t>Mallela Triveni</t>
  </si>
  <si>
    <t>triveni3737@gmail.com</t>
  </si>
  <si>
    <t>ASIPL4314</t>
  </si>
  <si>
    <t>Solanki Rahul Rakeshkumar</t>
  </si>
  <si>
    <t>rahul.solanki@aditiconsulting.com</t>
  </si>
  <si>
    <t>ASIPL4315</t>
  </si>
  <si>
    <t>Bodadasari Nitesh Kumar</t>
  </si>
  <si>
    <t>niteshnani988@gmail.com</t>
  </si>
  <si>
    <t>ASIPL4321</t>
  </si>
  <si>
    <t>Ayush Singh</t>
  </si>
  <si>
    <t>singhakshil43@gmail.com</t>
  </si>
  <si>
    <t>ASIPL4323</t>
  </si>
  <si>
    <t>M Dharshini Priya</t>
  </si>
  <si>
    <t>d0275022@gmail.com</t>
  </si>
  <si>
    <t>Candidate Backed out</t>
  </si>
  <si>
    <t>ASIPL4327</t>
  </si>
  <si>
    <t>Yogesh L L Simmhan</t>
  </si>
  <si>
    <t>simmhan@iisc.ac.in</t>
  </si>
  <si>
    <t>Project and Program Management</t>
  </si>
  <si>
    <t>ASIPL4330</t>
  </si>
  <si>
    <t>Rishi Seth</t>
  </si>
  <si>
    <t>rishi.seth@aditiconsulting.com</t>
  </si>
  <si>
    <t>ASIPL4336</t>
  </si>
  <si>
    <t>Rahul Japendra Sharma</t>
  </si>
  <si>
    <t>rahul.sharma@aditiconsulting.com</t>
  </si>
  <si>
    <t>ASIPL4342</t>
  </si>
  <si>
    <t>Mahitha A</t>
  </si>
  <si>
    <t>a.mahitha@aditiconsulting.com</t>
  </si>
  <si>
    <t>ASIPL4352</t>
  </si>
  <si>
    <t>Apoorva Shripad Dudalkar</t>
  </si>
  <si>
    <t>apoorvadudalkar3@gmail.com</t>
  </si>
  <si>
    <t>ASIPL4358</t>
  </si>
  <si>
    <t>Harini V</t>
  </si>
  <si>
    <t>vharini166@gmail.com</t>
  </si>
  <si>
    <t>ASIPL4370</t>
  </si>
  <si>
    <t>K Vaishnavi .</t>
  </si>
  <si>
    <t>k.vaishnavi1024@gmail.com</t>
  </si>
  <si>
    <t>ASIPL4372</t>
  </si>
  <si>
    <t>Deeksha Shetty</t>
  </si>
  <si>
    <t>deeksha.shetty@aditiconsulting.com</t>
  </si>
  <si>
    <t>ASIPL4377</t>
  </si>
  <si>
    <t>Sandhya Rani</t>
  </si>
  <si>
    <t>sandhya.rani@aditiconsulting.com</t>
  </si>
  <si>
    <t>Senior Software Test Engineer</t>
  </si>
  <si>
    <t>Non Availability</t>
  </si>
  <si>
    <t>ASIPL4392</t>
  </si>
  <si>
    <t>Ashwin Nagarajan</t>
  </si>
  <si>
    <t>achuashwin0312@gmail.com</t>
  </si>
  <si>
    <t>ASIPL4394</t>
  </si>
  <si>
    <t>Mantena Kavya</t>
  </si>
  <si>
    <t>kavyamantena2000@gmail.com</t>
  </si>
  <si>
    <t>ASIPL4401</t>
  </si>
  <si>
    <t>Pooja S Godi</t>
  </si>
  <si>
    <t>godipooja20@gmail.com</t>
  </si>
  <si>
    <t>ASIPL4403</t>
  </si>
  <si>
    <t>Varshini S Bisaralli</t>
  </si>
  <si>
    <t>varshinibisaralli17@gmail.com</t>
  </si>
  <si>
    <t>ASIPL4426</t>
  </si>
  <si>
    <t>Jaita Das</t>
  </si>
  <si>
    <t>jaita.ivy@outlook.com</t>
  </si>
  <si>
    <t>Manager, Digital Channel Client Migration</t>
  </si>
  <si>
    <t>ASIPL4440</t>
  </si>
  <si>
    <t>Dhemanth K Gowda</t>
  </si>
  <si>
    <t>dhemanth205@gmail.com</t>
  </si>
  <si>
    <t>ASIPL4513</t>
  </si>
  <si>
    <t>Pavan Kumar Devireddy</t>
  </si>
  <si>
    <t>pavan.kumar@aditiconsulting.com</t>
  </si>
  <si>
    <t>ASIPL4516</t>
  </si>
  <si>
    <t>Amrithesh S</t>
  </si>
  <si>
    <t>amrithesh.s@aditiconsulting.com</t>
  </si>
  <si>
    <t>BGV- Failure</t>
  </si>
  <si>
    <t>ASIPL4527</t>
  </si>
  <si>
    <t>Uddesh Dnyaneshwar Sonnaik</t>
  </si>
  <si>
    <t>usonnaik@gmail.com</t>
  </si>
  <si>
    <t>Senior Executive HR- L6B</t>
  </si>
  <si>
    <t>No Show</t>
  </si>
  <si>
    <t>ASIPL4539</t>
  </si>
  <si>
    <t>Vaishak R</t>
  </si>
  <si>
    <t>vaishaak22@gmail.com</t>
  </si>
  <si>
    <t>INTERN0005</t>
  </si>
  <si>
    <t>Hariny S V</t>
  </si>
  <si>
    <t>harinybhaskar@gmail.com</t>
  </si>
  <si>
    <t>intern</t>
  </si>
  <si>
    <t>INTERN0009</t>
  </si>
  <si>
    <t>Apoorva Verma</t>
  </si>
  <si>
    <t>apoorva.verma@aditiconsulting.com</t>
  </si>
  <si>
    <t>INTERN0012</t>
  </si>
  <si>
    <t>Shaswat</t>
  </si>
  <si>
    <t>shaswat@aditiconsulting.com</t>
  </si>
  <si>
    <t>BU</t>
  </si>
  <si>
    <t>Approved HC</t>
  </si>
  <si>
    <t>Active HC</t>
  </si>
  <si>
    <t>Serving Notice</t>
  </si>
  <si>
    <t>Open Positions</t>
  </si>
  <si>
    <t>Offered</t>
  </si>
  <si>
    <t>TBH</t>
  </si>
  <si>
    <t>Hold Positions</t>
  </si>
  <si>
    <t>Long leave</t>
  </si>
  <si>
    <t>PIPs</t>
  </si>
  <si>
    <t xml:space="preserve">Serving Notice </t>
  </si>
  <si>
    <t>Open Position Remarks</t>
  </si>
  <si>
    <t>TBJ (Offered)</t>
  </si>
  <si>
    <t>PIP</t>
  </si>
  <si>
    <t>US recruited (TOD &amp; DES)</t>
  </si>
  <si>
    <t>India Recruitment ( TOD &amp; DES)</t>
  </si>
  <si>
    <t>Akshara Anant(ML)</t>
  </si>
  <si>
    <t>Piyali (ML)</t>
  </si>
  <si>
    <t>ODC Internal</t>
  </si>
  <si>
    <t>ODC Billable</t>
  </si>
  <si>
    <t>ODC Fixed Term Contractors</t>
  </si>
  <si>
    <t>Total</t>
  </si>
  <si>
    <t>Overall</t>
  </si>
  <si>
    <t>Current Attrition</t>
  </si>
  <si>
    <t>YTD</t>
  </si>
  <si>
    <t>Opening</t>
  </si>
  <si>
    <t>Closing</t>
  </si>
  <si>
    <t>Avg</t>
  </si>
  <si>
    <t xml:space="preserve">Opeining </t>
  </si>
  <si>
    <t>ODC internal Billable</t>
  </si>
  <si>
    <t>yes</t>
  </si>
  <si>
    <t xml:space="preserve">Sales   </t>
  </si>
  <si>
    <t>AI-Labs</t>
  </si>
  <si>
    <t>ASIPL4570</t>
  </si>
  <si>
    <t>ASIPL4581</t>
  </si>
  <si>
    <t>ASIPL4582</t>
  </si>
  <si>
    <t>Sreeja V</t>
  </si>
  <si>
    <t>Shekhawat Shersingh</t>
  </si>
  <si>
    <t>Ashik Venkat Reddy</t>
  </si>
  <si>
    <t>sreeja.v@aditiconsulting.com</t>
  </si>
  <si>
    <t>shekhawat.singh@aditiconsulting.com</t>
  </si>
  <si>
    <t>ashik.venkat@aditiconsulting.com</t>
  </si>
  <si>
    <t>ServiceNow Virtual Agent Developer</t>
  </si>
  <si>
    <t>Internal Employee &amp; Bench</t>
  </si>
  <si>
    <t>Actual Department</t>
  </si>
  <si>
    <t>Vanitha G</t>
  </si>
  <si>
    <t>7 positions are billable FTC</t>
  </si>
  <si>
    <t>Observations</t>
  </si>
  <si>
    <t>Details</t>
  </si>
  <si>
    <t>Internal Project</t>
  </si>
  <si>
    <t>Practice Head</t>
  </si>
  <si>
    <t>ASIPL4517</t>
  </si>
  <si>
    <t>ASIPL4566</t>
  </si>
  <si>
    <t>ASIPL4567</t>
  </si>
  <si>
    <t>ASIPL4568</t>
  </si>
  <si>
    <t>ASIPL4571</t>
  </si>
  <si>
    <t>ASIPL4572</t>
  </si>
  <si>
    <t>ASIPL4573</t>
  </si>
  <si>
    <t>ASIPL4574</t>
  </si>
  <si>
    <t>ASIPL4579</t>
  </si>
  <si>
    <t>ASIPL4583</t>
  </si>
  <si>
    <t>Md Shareem Akram Ansari</t>
  </si>
  <si>
    <t>Manoj Kumar Y</t>
  </si>
  <si>
    <t>Unnikrishnan C S</t>
  </si>
  <si>
    <t>Pranali Yadvendra Shewale</t>
  </si>
  <si>
    <t>Anjali .</t>
  </si>
  <si>
    <t>Dudi Sai Niharika</t>
  </si>
  <si>
    <t>Manisha Trilokinath Singh</t>
  </si>
  <si>
    <t>E Poojitha</t>
  </si>
  <si>
    <t>Nithin Krishna K M</t>
  </si>
  <si>
    <t>Gokulakrishnan .</t>
  </si>
  <si>
    <t>shareemakram01@gmail.com</t>
  </si>
  <si>
    <t>manojmessi981@gmail.com</t>
  </si>
  <si>
    <t>cs.unnikrishnan10@gmail.com</t>
  </si>
  <si>
    <t>pranali3711@gmail.com</t>
  </si>
  <si>
    <t>anjalisingh211698@gmail.com</t>
  </si>
  <si>
    <t>niharika.dudi965@gmail.com</t>
  </si>
  <si>
    <t>itsmemanisha97@gmail.com</t>
  </si>
  <si>
    <t>poojithaerragatlla@gmail.com</t>
  </si>
  <si>
    <t>nithinnkrish669@gmail.com</t>
  </si>
  <si>
    <t>gokulmaillook@gmail.com</t>
  </si>
  <si>
    <t>Enterprise Architect V</t>
  </si>
  <si>
    <t>Payroll Clerk II</t>
  </si>
  <si>
    <t>HR Assistant I</t>
  </si>
  <si>
    <t>Customer Support</t>
  </si>
  <si>
    <t>ASIPL4279</t>
  </si>
  <si>
    <t>ASIPL4322</t>
  </si>
  <si>
    <t>ASIPL4399</t>
  </si>
  <si>
    <t>ASIPL4515</t>
  </si>
  <si>
    <t>Sarmistha Bose</t>
  </si>
  <si>
    <t>Noor Fathima</t>
  </si>
  <si>
    <t>G Satish</t>
  </si>
  <si>
    <t>Prema .</t>
  </si>
  <si>
    <t>sarmisthabose0341@gmail.com</t>
  </si>
  <si>
    <t>noorfathima27072001@gmail.com</t>
  </si>
  <si>
    <t>satish.gudla29@gmail.com</t>
  </si>
  <si>
    <t>premajennifer22@gmail.com</t>
  </si>
  <si>
    <t>Shaikh Ashfak</t>
  </si>
  <si>
    <t>ASIPL4586</t>
  </si>
  <si>
    <t>ASIPL4587</t>
  </si>
  <si>
    <t>ASIPL4590</t>
  </si>
  <si>
    <t>ASIPL4591</t>
  </si>
  <si>
    <t>ASIPL4719</t>
  </si>
  <si>
    <t>Khaleel Ulla Khan</t>
  </si>
  <si>
    <t>Sudha Srinath</t>
  </si>
  <si>
    <t>Adnan Ahmad Siddiqui</t>
  </si>
  <si>
    <t>Saqlain Ahmed B</t>
  </si>
  <si>
    <t>Lokesh P</t>
  </si>
  <si>
    <t>khaleelullakhan121997@gmail.com</t>
  </si>
  <si>
    <t>sudhanagaraja87@gmail.com</t>
  </si>
  <si>
    <t>siddiqui.adnan85@gmail.com</t>
  </si>
  <si>
    <t>saqlainahmed111@gmail.com</t>
  </si>
  <si>
    <t>plokesh877@gmail.com</t>
  </si>
  <si>
    <t>Administrative Assistant 1</t>
  </si>
  <si>
    <t>Lead Technical Program Manager - Level 6</t>
  </si>
  <si>
    <t>Software Tester 5</t>
  </si>
  <si>
    <t>ASIPL4585</t>
  </si>
  <si>
    <t>Roshan Joseph Dsouza</t>
  </si>
  <si>
    <t>roshan.dsouza@aditiconsulting.com</t>
  </si>
  <si>
    <t xml:space="preserve">
Prasul Prakashan</t>
  </si>
  <si>
    <t>ASIPL4584</t>
  </si>
  <si>
    <t>Biranchi Narayan Panda</t>
  </si>
  <si>
    <t xml:space="preserve">
biranchi.panda@aditiconsulting.com</t>
  </si>
  <si>
    <t>ASIPL4589</t>
  </si>
  <si>
    <t>Anjali Gaur</t>
  </si>
  <si>
    <t xml:space="preserve">
anjali0gaur@gmail.com</t>
  </si>
  <si>
    <t>Suhas Kashyap</t>
  </si>
  <si>
    <t xml:space="preserve">
suhas.kashyap@aditiconsulting.com</t>
  </si>
  <si>
    <t>INTERN0017</t>
  </si>
  <si>
    <t>Annapurna Ajay</t>
  </si>
  <si>
    <t xml:space="preserve">
annapurna09.ajay@gmail.com</t>
  </si>
  <si>
    <t>Business &amp; Functional Analyst</t>
  </si>
  <si>
    <t>INTERN0018</t>
  </si>
  <si>
    <t>Susmitha A R</t>
  </si>
  <si>
    <t>susmitha.ravishankar@gmail.com</t>
  </si>
  <si>
    <t xml:space="preserve">Data Analytics </t>
  </si>
  <si>
    <t>ASIPL4593</t>
  </si>
  <si>
    <t xml:space="preserve">
Neel Upadhyaya</t>
  </si>
  <si>
    <t>ASIPL4595</t>
  </si>
  <si>
    <t>Haripriya Raju</t>
  </si>
  <si>
    <t>haripriya.raju21@gmail.com</t>
  </si>
  <si>
    <t>7 US Technical Recruiter</t>
  </si>
  <si>
    <t>Darshit Bhat</t>
  </si>
  <si>
    <t>1 CSM</t>
  </si>
  <si>
    <t xml:space="preserve">2 Technical Recruiter </t>
  </si>
  <si>
    <t xml:space="preserve">1 Engagement Specialist ,1 HR Service Delivery, 1 Desktop Support Executive,1 Payroll Specialist/Sr Specialist, 1 Global Leader – Learning &amp; Talent Development (Xpheno), 2 HRMS Administrator (Xpheno), 1 Business Process / Systems Analyst(Xpheno), 1 Global Employee Engagement Manager (Xpheno), 1 Global Compensation &amp; Total Rewards Manager (Xpheno), </t>
  </si>
  <si>
    <t>End of Internship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</si>
</sst>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8"/>
      <color rgb="FFFFFFFF"/>
      <name val="Aptos Display"/>
      <family val="2"/>
    </font>
    <font>
      <b/>
      <sz val="8"/>
      <color rgb="FF000000"/>
      <name val="Aptos Display"/>
      <family val="2"/>
    </font>
    <font>
      <sz val="8"/>
      <color rgb="FF000000"/>
      <name val="Aptos Display"/>
      <family val="2"/>
    </font>
    <font>
      <sz val="12"/>
      <color rgb="FF000000"/>
      <name val="Aptos"/>
      <family val="2"/>
    </font>
    <font>
      <sz val="11"/>
      <color theme="1"/>
      <name val="Calibri"/>
      <family val="2"/>
      <scheme val="minor"/>
    </font>
    <font>
      <sz val="8"/>
      <color rgb="FFFFFFFF"/>
      <name val="Aptos Display"/>
      <family val="2"/>
    </font>
    <font>
      <sz val="8"/>
      <color theme="1"/>
      <name val="Calibri"/>
      <family val="2"/>
      <scheme val="minor"/>
    </font>
    <font>
      <sz val="12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theme="10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4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64">
    <xf numFmtId="0" fontId="0" fillId="0" borderId="0" xfId="0"/>
    <xf numFmtId="0" fontId="0" fillId="0" borderId="1" xfId="0" applyBorder="1"/>
    <xf numFmtId="49" fontId="0" fillId="0" borderId="1" xfId="0" applyNumberFormat="1" applyBorder="1" applyAlignment="1">
      <alignment horizontal="center"/>
    </xf>
    <xf numFmtId="49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/>
    </xf>
    <xf numFmtId="0" fontId="11" fillId="9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9" fontId="10" fillId="2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6" fillId="0" borderId="1" xfId="0" applyFont="1" applyBorder="1" applyAlignment="1">
      <alignment horizontal="center"/>
    </xf>
    <xf numFmtId="9" fontId="16" fillId="0" borderId="1" xfId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9" fontId="16" fillId="0" borderId="2" xfId="1" applyFont="1" applyFill="1" applyBorder="1" applyAlignment="1">
      <alignment horizontal="center"/>
    </xf>
    <xf numFmtId="9" fontId="12" fillId="0" borderId="2" xfId="0" applyNumberFormat="1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49" fontId="3" fillId="0" borderId="1" xfId="0" applyNumberFormat="1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1" fillId="0" borderId="1" xfId="0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1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/>
    </xf>
    <xf numFmtId="49" fontId="19" fillId="0" borderId="1" xfId="2" applyNumberForma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49" fontId="0" fillId="0" borderId="2" xfId="0" applyNumberFormat="1" applyFill="1" applyBorder="1" applyAlignment="1">
      <alignment horizontal="center" vertical="center"/>
    </xf>
  </cellXfs>
  <cellStyles count="3">
    <cellStyle name="Hyperlink" xfId="2" builtinId="8"/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bood Imtiaz" id="{B5BA0294-79FC-4F2D-A3D9-F7F9F188C781}" userId="S::abood.imtiaz@aditiconsulting.com::45cad049-651e-4b34-bd74-648b2546aa46" providerId="AD"/>
</personList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46" dT="2026-10-16T14:06:01.65" personId="{B5BA0294-79FC-4F2D-A3D9-F7F9F188C781}" id="{E8DD7729-6890-4E56-8592-0A793826C540}">
    <text>They are serving Notice</text>
  </threadedComment>
  <threadedComment ref="J80" dT="2026-10-16T14:06:01.65" personId="{B5BA0294-79FC-4F2D-A3D9-F7F9F188C781}" id="{388B8A4A-B9F8-4561-B11E-69AF6C118F9E}">
    <text>They are serving Notice</text>
  </threadedComment>
  <threadedComment ref="J155" dT="2026-10-16T14:06:01.65" personId="{B5BA0294-79FC-4F2D-A3D9-F7F9F188C781}" id="{D02263AD-8D23-496E-BA2B-BDEA0B013820}">
    <text>They are serving Notice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6" dT="2026-10-19T09:03:22.88" personId="{B5BA0294-79FC-4F2D-A3D9-F7F9F188C781}" id="{E91C87CE-F415-46B5-9794-D38D956465B5}">
    <text>AI Labs + Interns</text>
  </threadedComment>
  <threadedComment ref="C6" dT="2026-10-14T12:37:29.28" personId="{B5BA0294-79FC-4F2D-A3D9-F7F9F188C781}" id="{42B50E01-490D-4C6D-9AC5-B21A2DDC126F}">
    <text>AI Labs + Interns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O3" dT="2026-10-13T17:53:50.20" personId="{B5BA0294-79FC-4F2D-A3D9-F7F9F188C781}" id="{70C5ED1A-EFA5-44F8-8B74-9D6BE35E1AB5}">
    <text>+AI LABS AND INTERNS</text>
  </threadedComment>
  <threadedComment ref="B5" dT="2026-10-12T10:54:09.51" personId="{B5BA0294-79FC-4F2D-A3D9-F7F9F188C781}" id="{CFB0F180-2F4D-454D-B410-34E9CFE4B923}">
    <text>1 Intern</text>
  </threadedComment>
  <threadedComment ref="C5" dT="2026-10-12T10:54:30.38" personId="{B5BA0294-79FC-4F2D-A3D9-F7F9F188C781}" id="{C28F01FA-4FDB-4F60-8613-8E85527C1FCB}">
    <text>1 Intern</text>
  </threadedComment>
  <threadedComment ref="B6" dT="2026-10-12T10:58:40.38" personId="{B5BA0294-79FC-4F2D-A3D9-F7F9F188C781}" id="{8077BEF0-944D-4A85-9180-865802D10620}">
    <text>52 Contract Expired</text>
  </threadedComment>
  <threadedComment ref="C6" dT="2026-10-12T11:00:50.07" personId="{B5BA0294-79FC-4F2D-A3D9-F7F9F188C781}" id="{CD991F5E-BFA6-474A-AA90-00FEF135A775}">
    <text>19 Contract Expired</text>
  </threadedComment>
  <threadedComment ref="D6" dT="2026-10-12T11:01:57.00" personId="{B5BA0294-79FC-4F2D-A3D9-F7F9F188C781}" id="{8B9AF548-CF67-4417-BAAA-D80C89370995}">
    <text>36 Contract Expired</text>
  </threadedComment>
  <threadedComment ref="B7" dT="2026-10-14T11:56:22.23" personId="{B5BA0294-79FC-4F2D-A3D9-F7F9F188C781}" id="{F78BDF3D-86D0-4D64-A2A3-B9724FC47478}">
    <text>2 Contract ends</text>
  </threadedComment>
  <threadedComment ref="C7" dT="2026-10-14T11:59:34.42" personId="{B5BA0294-79FC-4F2D-A3D9-F7F9F188C781}" id="{030DBA93-524D-459C-B750-D64AA3B8059A}">
    <text>1 Contract expired</text>
  </threadedComment>
  <threadedComment ref="D7" dT="2026-10-14T12:01:19.69" personId="{B5BA0294-79FC-4F2D-A3D9-F7F9F188C781}" id="{034C12AF-9098-44A8-A0EC-FC7D7E0A2153}">
    <text xml:space="preserve">2 Contract Expired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susmitha.ravishankar@gmail.com" TargetMode="Externa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ishika.rajdev@aditiconsulting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705"/>
  <sheetViews>
    <sheetView workbookViewId="0">
      <selection activeCell="A679" sqref="A679:XFD679"/>
    </sheetView>
  </sheetViews>
  <sheetFormatPr defaultRowHeight="14.5" x14ac:dyDescent="0.35"/>
  <cols>
    <col min="1" max="1" width="16.36328125" style="33" bestFit="1" customWidth="1"/>
    <col min="2" max="2" width="37.6328125" style="33" bestFit="1" customWidth="1"/>
    <col min="3" max="3" width="41.6328125" style="33" bestFit="1" customWidth="1"/>
    <col min="4" max="4" width="23.54296875" style="33" bestFit="1" customWidth="1"/>
    <col min="5" max="5" width="25.453125" style="33" bestFit="1" customWidth="1"/>
    <col min="6" max="6" width="27.26953125" style="33" bestFit="1" customWidth="1"/>
    <col min="7" max="7" width="23.6328125" style="33" bestFit="1" customWidth="1"/>
    <col min="8" max="8" width="48.08984375" style="33" bestFit="1" customWidth="1"/>
    <col min="9" max="9" width="11.7265625" style="34" bestFit="1" customWidth="1"/>
    <col min="10" max="10" width="13.6328125" style="32" bestFit="1" customWidth="1"/>
    <col min="11" max="11" width="6.81640625" style="32" bestFit="1" customWidth="1"/>
    <col min="12" max="12" width="23.6328125" style="32" bestFit="1" customWidth="1"/>
    <col min="13" max="13" width="8.90625" style="32" bestFit="1" customWidth="1"/>
    <col min="14" max="16384" width="8.7265625" style="32"/>
  </cols>
  <sheetData>
    <row r="1" spans="1:14" s="6" customFormat="1" x14ac:dyDescent="0.35">
      <c r="A1" s="3" t="s">
        <v>0</v>
      </c>
      <c r="B1" s="3" t="s">
        <v>1</v>
      </c>
      <c r="C1" s="3" t="s">
        <v>2</v>
      </c>
      <c r="D1" s="3" t="s">
        <v>5</v>
      </c>
      <c r="E1" s="3" t="s">
        <v>6</v>
      </c>
      <c r="F1" s="3" t="s">
        <v>3635</v>
      </c>
      <c r="G1" s="3" t="s">
        <v>7</v>
      </c>
      <c r="H1" s="3" t="s">
        <v>8</v>
      </c>
      <c r="I1" s="4" t="s">
        <v>10</v>
      </c>
      <c r="J1" s="3" t="s">
        <v>2470</v>
      </c>
      <c r="K1" s="3" t="s">
        <v>2471</v>
      </c>
      <c r="L1" s="8" t="s">
        <v>2480</v>
      </c>
      <c r="N1" s="55"/>
    </row>
    <row r="2" spans="1:14" s="1" customFormat="1" hidden="1" x14ac:dyDescent="0.35">
      <c r="A2" s="5" t="s">
        <v>14</v>
      </c>
      <c r="B2" s="2" t="s">
        <v>15</v>
      </c>
      <c r="C2" s="2" t="s">
        <v>16</v>
      </c>
      <c r="D2" s="2" t="s">
        <v>20</v>
      </c>
      <c r="E2" s="2" t="s">
        <v>20</v>
      </c>
      <c r="F2" s="2" t="s">
        <v>20</v>
      </c>
      <c r="G2" s="2" t="s">
        <v>21</v>
      </c>
      <c r="H2" s="2" t="s">
        <v>22</v>
      </c>
      <c r="I2" s="24">
        <v>40716</v>
      </c>
      <c r="J2" s="2"/>
      <c r="K2" s="25"/>
      <c r="L2" s="2" t="s">
        <v>2473</v>
      </c>
      <c r="M2" s="25"/>
      <c r="N2" s="56"/>
    </row>
    <row r="3" spans="1:14" s="1" customFormat="1" hidden="1" x14ac:dyDescent="0.35">
      <c r="A3" s="5" t="s">
        <v>25</v>
      </c>
      <c r="B3" s="2" t="s">
        <v>26</v>
      </c>
      <c r="C3" s="2" t="s">
        <v>27</v>
      </c>
      <c r="D3" s="2" t="s">
        <v>29</v>
      </c>
      <c r="E3" s="26" t="s">
        <v>2476</v>
      </c>
      <c r="F3" s="2" t="s">
        <v>3605</v>
      </c>
      <c r="G3" s="25"/>
      <c r="H3" s="2" t="s">
        <v>30</v>
      </c>
      <c r="I3" s="24">
        <v>41708</v>
      </c>
      <c r="J3" s="2"/>
      <c r="K3" s="25"/>
      <c r="L3" s="2" t="s">
        <v>2473</v>
      </c>
      <c r="M3" s="25"/>
      <c r="N3" s="56"/>
    </row>
    <row r="4" spans="1:14" s="1" customFormat="1" hidden="1" x14ac:dyDescent="0.35">
      <c r="A4" s="5" t="s">
        <v>34</v>
      </c>
      <c r="B4" s="2" t="s">
        <v>35</v>
      </c>
      <c r="C4" s="2" t="s">
        <v>36</v>
      </c>
      <c r="D4" s="2" t="s">
        <v>37</v>
      </c>
      <c r="E4" s="26" t="s">
        <v>2476</v>
      </c>
      <c r="F4" s="2" t="s">
        <v>3606</v>
      </c>
      <c r="G4" s="2"/>
      <c r="H4" s="2" t="s">
        <v>38</v>
      </c>
      <c r="I4" s="24">
        <v>41729</v>
      </c>
      <c r="J4" s="2"/>
      <c r="K4" s="25"/>
      <c r="L4" s="2" t="s">
        <v>2473</v>
      </c>
      <c r="M4" s="25"/>
      <c r="N4" s="56"/>
    </row>
    <row r="5" spans="1:14" s="1" customFormat="1" hidden="1" x14ac:dyDescent="0.35">
      <c r="A5" s="5" t="s">
        <v>40</v>
      </c>
      <c r="B5" s="2" t="s">
        <v>41</v>
      </c>
      <c r="C5" s="2" t="s">
        <v>42</v>
      </c>
      <c r="D5" s="2" t="s">
        <v>20</v>
      </c>
      <c r="E5" s="2" t="s">
        <v>20</v>
      </c>
      <c r="F5" s="2" t="s">
        <v>20</v>
      </c>
      <c r="G5" s="2" t="s">
        <v>43</v>
      </c>
      <c r="H5" s="2" t="s">
        <v>44</v>
      </c>
      <c r="I5" s="24">
        <v>41821</v>
      </c>
      <c r="J5" s="2"/>
      <c r="K5" s="25"/>
      <c r="L5" s="2" t="s">
        <v>2473</v>
      </c>
      <c r="M5" s="25"/>
      <c r="N5" s="56"/>
    </row>
    <row r="6" spans="1:14" s="1" customFormat="1" hidden="1" x14ac:dyDescent="0.35">
      <c r="A6" s="5" t="s">
        <v>47</v>
      </c>
      <c r="B6" s="2" t="s">
        <v>48</v>
      </c>
      <c r="C6" s="2" t="s">
        <v>49</v>
      </c>
      <c r="D6" s="2" t="s">
        <v>50</v>
      </c>
      <c r="E6" s="26" t="s">
        <v>2476</v>
      </c>
      <c r="F6" s="2" t="s">
        <v>3605</v>
      </c>
      <c r="G6" s="2"/>
      <c r="H6" s="2" t="s">
        <v>51</v>
      </c>
      <c r="I6" s="24">
        <v>42037</v>
      </c>
      <c r="J6" s="2"/>
      <c r="K6" s="25"/>
      <c r="L6" s="2" t="s">
        <v>2473</v>
      </c>
      <c r="M6" s="25"/>
      <c r="N6" s="56"/>
    </row>
    <row r="7" spans="1:14" s="1" customFormat="1" hidden="1" x14ac:dyDescent="0.35">
      <c r="A7" s="5" t="s">
        <v>52</v>
      </c>
      <c r="B7" s="2" t="s">
        <v>53</v>
      </c>
      <c r="C7" s="2" t="s">
        <v>54</v>
      </c>
      <c r="D7" s="2" t="s">
        <v>29</v>
      </c>
      <c r="E7" s="26" t="s">
        <v>2476</v>
      </c>
      <c r="F7" s="2" t="s">
        <v>3605</v>
      </c>
      <c r="G7" s="2"/>
      <c r="H7" s="2" t="s">
        <v>55</v>
      </c>
      <c r="I7" s="24">
        <v>42088</v>
      </c>
      <c r="J7" s="2"/>
      <c r="K7" s="25"/>
      <c r="L7" s="2" t="s">
        <v>2473</v>
      </c>
      <c r="M7" s="25"/>
      <c r="N7" s="56"/>
    </row>
    <row r="8" spans="1:14" s="1" customFormat="1" hidden="1" x14ac:dyDescent="0.35">
      <c r="A8" s="5" t="s">
        <v>57</v>
      </c>
      <c r="B8" s="2" t="s">
        <v>58</v>
      </c>
      <c r="C8" s="2" t="s">
        <v>59</v>
      </c>
      <c r="D8" s="2" t="s">
        <v>50</v>
      </c>
      <c r="E8" s="26" t="s">
        <v>2476</v>
      </c>
      <c r="F8" s="2" t="s">
        <v>3605</v>
      </c>
      <c r="G8" s="2"/>
      <c r="H8" s="2" t="s">
        <v>695</v>
      </c>
      <c r="I8" s="24">
        <v>42205</v>
      </c>
      <c r="J8" s="2"/>
      <c r="K8" s="25"/>
      <c r="L8" s="39" t="s">
        <v>2473</v>
      </c>
      <c r="M8" s="25"/>
      <c r="N8" s="56"/>
    </row>
    <row r="9" spans="1:14" s="1" customFormat="1" hidden="1" x14ac:dyDescent="0.35">
      <c r="A9" s="5" t="s">
        <v>64</v>
      </c>
      <c r="B9" s="2" t="s">
        <v>65</v>
      </c>
      <c r="C9" s="2" t="s">
        <v>66</v>
      </c>
      <c r="D9" s="2" t="s">
        <v>50</v>
      </c>
      <c r="E9" s="26" t="s">
        <v>2476</v>
      </c>
      <c r="F9" s="2" t="s">
        <v>3605</v>
      </c>
      <c r="G9" s="2"/>
      <c r="H9" s="2" t="s">
        <v>67</v>
      </c>
      <c r="I9" s="24">
        <v>42345</v>
      </c>
      <c r="J9" s="2"/>
      <c r="K9" s="25"/>
      <c r="L9" s="2" t="s">
        <v>3634</v>
      </c>
      <c r="M9" s="25"/>
      <c r="N9" s="56"/>
    </row>
    <row r="10" spans="1:14" s="1" customFormat="1" hidden="1" x14ac:dyDescent="0.35">
      <c r="A10" s="5" t="s">
        <v>68</v>
      </c>
      <c r="B10" s="2" t="s">
        <v>69</v>
      </c>
      <c r="C10" s="2" t="s">
        <v>70</v>
      </c>
      <c r="D10" s="2" t="s">
        <v>20</v>
      </c>
      <c r="E10" s="2" t="s">
        <v>20</v>
      </c>
      <c r="F10" s="2" t="s">
        <v>20</v>
      </c>
      <c r="G10" s="2" t="s">
        <v>71</v>
      </c>
      <c r="H10" s="2" t="s">
        <v>72</v>
      </c>
      <c r="I10" s="24">
        <v>42415</v>
      </c>
      <c r="J10" s="2"/>
      <c r="K10" s="25"/>
      <c r="L10" s="2" t="s">
        <v>2473</v>
      </c>
      <c r="M10" s="25"/>
      <c r="N10" s="56"/>
    </row>
    <row r="11" spans="1:14" s="1" customFormat="1" hidden="1" x14ac:dyDescent="0.35">
      <c r="A11" s="5" t="s">
        <v>62</v>
      </c>
      <c r="B11" s="2" t="s">
        <v>61</v>
      </c>
      <c r="C11" s="2" t="s">
        <v>73</v>
      </c>
      <c r="D11" s="2" t="s">
        <v>50</v>
      </c>
      <c r="E11" s="26" t="s">
        <v>2476</v>
      </c>
      <c r="F11" s="2" t="s">
        <v>3605</v>
      </c>
      <c r="G11" s="2"/>
      <c r="H11" s="2" t="s">
        <v>75</v>
      </c>
      <c r="I11" s="24">
        <v>42611</v>
      </c>
      <c r="J11" s="2"/>
      <c r="K11" s="25"/>
      <c r="L11" s="2" t="s">
        <v>2473</v>
      </c>
      <c r="M11" s="25"/>
      <c r="N11" s="56"/>
    </row>
    <row r="12" spans="1:14" s="1" customFormat="1" hidden="1" x14ac:dyDescent="0.35">
      <c r="A12" s="5" t="s">
        <v>77</v>
      </c>
      <c r="B12" s="2" t="s">
        <v>78</v>
      </c>
      <c r="C12" s="2" t="s">
        <v>79</v>
      </c>
      <c r="D12" s="2" t="s">
        <v>37</v>
      </c>
      <c r="E12" s="26" t="s">
        <v>2476</v>
      </c>
      <c r="F12" s="2" t="s">
        <v>3606</v>
      </c>
      <c r="G12" s="2"/>
      <c r="H12" s="2" t="s">
        <v>80</v>
      </c>
      <c r="I12" s="24">
        <v>42662</v>
      </c>
      <c r="J12" s="2"/>
      <c r="K12" s="25"/>
      <c r="L12" s="2" t="s">
        <v>2473</v>
      </c>
      <c r="M12" s="25"/>
      <c r="N12" s="56"/>
    </row>
    <row r="13" spans="1:14" s="1" customFormat="1" hidden="1" x14ac:dyDescent="0.35">
      <c r="A13" s="5" t="s">
        <v>46</v>
      </c>
      <c r="B13" s="2" t="s">
        <v>45</v>
      </c>
      <c r="C13" s="2" t="s">
        <v>83</v>
      </c>
      <c r="D13" s="2" t="s">
        <v>20</v>
      </c>
      <c r="E13" s="2" t="s">
        <v>20</v>
      </c>
      <c r="F13" s="2" t="s">
        <v>20</v>
      </c>
      <c r="G13" s="2" t="s">
        <v>84</v>
      </c>
      <c r="H13" s="2" t="s">
        <v>85</v>
      </c>
      <c r="I13" s="24">
        <v>42681</v>
      </c>
      <c r="J13" s="2"/>
      <c r="K13" s="25"/>
      <c r="L13" s="2" t="s">
        <v>2473</v>
      </c>
      <c r="M13" s="25"/>
      <c r="N13" s="56"/>
    </row>
    <row r="14" spans="1:14" s="1" customFormat="1" hidden="1" x14ac:dyDescent="0.35">
      <c r="A14" s="5" t="s">
        <v>88</v>
      </c>
      <c r="B14" s="2" t="s">
        <v>89</v>
      </c>
      <c r="C14" s="2" t="s">
        <v>90</v>
      </c>
      <c r="D14" s="2" t="s">
        <v>50</v>
      </c>
      <c r="E14" s="26" t="s">
        <v>2476</v>
      </c>
      <c r="F14" s="2" t="s">
        <v>3605</v>
      </c>
      <c r="G14" s="2"/>
      <c r="H14" s="2" t="s">
        <v>91</v>
      </c>
      <c r="I14" s="24">
        <v>42682</v>
      </c>
      <c r="J14" s="2"/>
      <c r="K14" s="25"/>
      <c r="L14" s="2" t="s">
        <v>3634</v>
      </c>
      <c r="M14" s="25"/>
      <c r="N14" s="56"/>
    </row>
    <row r="15" spans="1:14" s="1" customFormat="1" hidden="1" x14ac:dyDescent="0.35">
      <c r="A15" s="5" t="s">
        <v>92</v>
      </c>
      <c r="B15" s="2" t="s">
        <v>93</v>
      </c>
      <c r="C15" s="2" t="s">
        <v>94</v>
      </c>
      <c r="D15" s="2" t="s">
        <v>29</v>
      </c>
      <c r="E15" s="26" t="s">
        <v>2476</v>
      </c>
      <c r="F15" s="2" t="s">
        <v>3605</v>
      </c>
      <c r="G15" s="2"/>
      <c r="H15" s="2" t="s">
        <v>80</v>
      </c>
      <c r="I15" s="24">
        <v>43031</v>
      </c>
      <c r="J15" s="2"/>
      <c r="K15" s="25"/>
      <c r="L15" s="2" t="s">
        <v>2473</v>
      </c>
      <c r="M15" s="25"/>
      <c r="N15" s="56"/>
    </row>
    <row r="16" spans="1:14" s="1" customFormat="1" hidden="1" x14ac:dyDescent="0.35">
      <c r="A16" s="5" t="s">
        <v>95</v>
      </c>
      <c r="B16" s="2" t="s">
        <v>96</v>
      </c>
      <c r="C16" s="2" t="s">
        <v>97</v>
      </c>
      <c r="D16" s="2" t="s">
        <v>50</v>
      </c>
      <c r="E16" s="26" t="s">
        <v>2476</v>
      </c>
      <c r="F16" s="2" t="s">
        <v>3605</v>
      </c>
      <c r="G16" s="2"/>
      <c r="H16" s="2" t="s">
        <v>80</v>
      </c>
      <c r="I16" s="24">
        <v>43054</v>
      </c>
      <c r="J16" s="2"/>
      <c r="K16" s="25"/>
      <c r="L16" s="2" t="s">
        <v>2473</v>
      </c>
      <c r="M16" s="25"/>
      <c r="N16" s="56"/>
    </row>
    <row r="17" spans="1:14" s="1" customFormat="1" hidden="1" x14ac:dyDescent="0.35">
      <c r="A17" s="5" t="s">
        <v>98</v>
      </c>
      <c r="B17" s="2" t="s">
        <v>99</v>
      </c>
      <c r="C17" s="2" t="s">
        <v>100</v>
      </c>
      <c r="D17" s="2" t="s">
        <v>50</v>
      </c>
      <c r="E17" s="26" t="s">
        <v>2476</v>
      </c>
      <c r="F17" s="2" t="s">
        <v>101</v>
      </c>
      <c r="G17" s="2"/>
      <c r="H17" s="2" t="s">
        <v>102</v>
      </c>
      <c r="I17" s="24">
        <v>43115</v>
      </c>
      <c r="J17" s="2"/>
      <c r="K17" s="25"/>
      <c r="L17" s="2" t="s">
        <v>2473</v>
      </c>
      <c r="M17" s="25"/>
      <c r="N17" s="56"/>
    </row>
    <row r="18" spans="1:14" s="1" customFormat="1" hidden="1" x14ac:dyDescent="0.35">
      <c r="A18" s="5" t="s">
        <v>103</v>
      </c>
      <c r="B18" s="2" t="s">
        <v>104</v>
      </c>
      <c r="C18" s="2" t="s">
        <v>105</v>
      </c>
      <c r="D18" s="2" t="s">
        <v>50</v>
      </c>
      <c r="E18" s="26" t="s">
        <v>2476</v>
      </c>
      <c r="F18" s="2" t="s">
        <v>101</v>
      </c>
      <c r="G18" s="2"/>
      <c r="H18" s="2" t="s">
        <v>106</v>
      </c>
      <c r="I18" s="24">
        <v>43171</v>
      </c>
      <c r="J18" s="2"/>
      <c r="K18" s="25"/>
      <c r="L18" s="2" t="s">
        <v>2473</v>
      </c>
      <c r="M18" s="25"/>
      <c r="N18" s="56"/>
    </row>
    <row r="19" spans="1:14" s="1" customFormat="1" hidden="1" x14ac:dyDescent="0.35">
      <c r="A19" s="5" t="s">
        <v>109</v>
      </c>
      <c r="B19" s="2" t="s">
        <v>110</v>
      </c>
      <c r="C19" s="2" t="s">
        <v>111</v>
      </c>
      <c r="D19" s="2" t="s">
        <v>29</v>
      </c>
      <c r="E19" s="26" t="s">
        <v>2476</v>
      </c>
      <c r="F19" s="2" t="s">
        <v>3605</v>
      </c>
      <c r="G19" s="2"/>
      <c r="H19" s="2" t="s">
        <v>80</v>
      </c>
      <c r="I19" s="24">
        <v>43262</v>
      </c>
      <c r="J19" s="2"/>
      <c r="K19" s="25"/>
      <c r="L19" s="2" t="s">
        <v>2473</v>
      </c>
      <c r="M19" s="25"/>
      <c r="N19" s="56"/>
    </row>
    <row r="20" spans="1:14" s="1" customFormat="1" hidden="1" x14ac:dyDescent="0.35">
      <c r="A20" s="5" t="s">
        <v>112</v>
      </c>
      <c r="B20" s="2" t="s">
        <v>113</v>
      </c>
      <c r="C20" s="2" t="s">
        <v>114</v>
      </c>
      <c r="D20" s="2" t="s">
        <v>37</v>
      </c>
      <c r="E20" s="26" t="s">
        <v>2476</v>
      </c>
      <c r="F20" s="2" t="s">
        <v>101</v>
      </c>
      <c r="G20" s="2"/>
      <c r="H20" s="2" t="s">
        <v>115</v>
      </c>
      <c r="I20" s="24">
        <v>43353</v>
      </c>
      <c r="J20" s="2"/>
      <c r="K20" s="25"/>
      <c r="L20" s="2" t="s">
        <v>2473</v>
      </c>
      <c r="M20" s="25"/>
      <c r="N20" s="56"/>
    </row>
    <row r="21" spans="1:14" s="1" customFormat="1" hidden="1" x14ac:dyDescent="0.35">
      <c r="A21" s="5" t="s">
        <v>116</v>
      </c>
      <c r="B21" s="2" t="s">
        <v>117</v>
      </c>
      <c r="C21" s="2" t="s">
        <v>118</v>
      </c>
      <c r="D21" s="2" t="s">
        <v>29</v>
      </c>
      <c r="E21" s="26" t="s">
        <v>2476</v>
      </c>
      <c r="F21" s="2" t="s">
        <v>3606</v>
      </c>
      <c r="G21" s="2"/>
      <c r="H21" s="2" t="s">
        <v>119</v>
      </c>
      <c r="I21" s="24">
        <v>43367</v>
      </c>
      <c r="J21" s="2"/>
      <c r="K21" s="25"/>
      <c r="L21" s="2" t="s">
        <v>2473</v>
      </c>
      <c r="M21" s="25"/>
      <c r="N21" s="56"/>
    </row>
    <row r="22" spans="1:14" s="1" customFormat="1" hidden="1" x14ac:dyDescent="0.35">
      <c r="A22" s="5" t="s">
        <v>122</v>
      </c>
      <c r="B22" s="2" t="s">
        <v>123</v>
      </c>
      <c r="C22" s="2" t="s">
        <v>124</v>
      </c>
      <c r="D22" s="2" t="s">
        <v>50</v>
      </c>
      <c r="E22" s="26" t="s">
        <v>2476</v>
      </c>
      <c r="F22" s="2" t="s">
        <v>101</v>
      </c>
      <c r="G22" s="2"/>
      <c r="H22" s="2" t="s">
        <v>106</v>
      </c>
      <c r="I22" s="24">
        <v>43374</v>
      </c>
      <c r="J22" s="2"/>
      <c r="K22" s="25"/>
      <c r="L22" s="2" t="s">
        <v>2473</v>
      </c>
      <c r="M22" s="25"/>
      <c r="N22" s="56"/>
    </row>
    <row r="23" spans="1:14" s="1" customFormat="1" hidden="1" x14ac:dyDescent="0.35">
      <c r="A23" s="5" t="s">
        <v>127</v>
      </c>
      <c r="B23" s="2" t="s">
        <v>128</v>
      </c>
      <c r="C23" s="2" t="s">
        <v>129</v>
      </c>
      <c r="D23" s="2" t="s">
        <v>50</v>
      </c>
      <c r="E23" s="26" t="s">
        <v>2476</v>
      </c>
      <c r="F23" s="2" t="s">
        <v>101</v>
      </c>
      <c r="G23" s="2"/>
      <c r="H23" s="2" t="s">
        <v>115</v>
      </c>
      <c r="I23" s="24">
        <v>43381</v>
      </c>
      <c r="J23" s="2"/>
      <c r="K23" s="25"/>
      <c r="L23" s="2" t="s">
        <v>2473</v>
      </c>
      <c r="M23" s="25"/>
      <c r="N23" s="56"/>
    </row>
    <row r="24" spans="1:14" s="1" customFormat="1" hidden="1" x14ac:dyDescent="0.35">
      <c r="A24" s="5" t="s">
        <v>131</v>
      </c>
      <c r="B24" s="2" t="s">
        <v>132</v>
      </c>
      <c r="C24" s="2" t="s">
        <v>133</v>
      </c>
      <c r="D24" s="2" t="s">
        <v>50</v>
      </c>
      <c r="E24" s="26" t="s">
        <v>2476</v>
      </c>
      <c r="F24" s="2" t="s">
        <v>3605</v>
      </c>
      <c r="G24" s="2"/>
      <c r="H24" s="2" t="s">
        <v>119</v>
      </c>
      <c r="I24" s="24">
        <v>43381</v>
      </c>
      <c r="J24" s="2"/>
      <c r="K24" s="25"/>
      <c r="L24" s="2" t="s">
        <v>2473</v>
      </c>
      <c r="M24" s="25"/>
      <c r="N24" s="56"/>
    </row>
    <row r="25" spans="1:14" s="1" customFormat="1" hidden="1" x14ac:dyDescent="0.35">
      <c r="A25" s="5" t="s">
        <v>134</v>
      </c>
      <c r="B25" s="2" t="s">
        <v>135</v>
      </c>
      <c r="C25" s="2" t="s">
        <v>136</v>
      </c>
      <c r="D25" s="2" t="s">
        <v>50</v>
      </c>
      <c r="E25" s="26" t="s">
        <v>2476</v>
      </c>
      <c r="F25" s="2" t="s">
        <v>101</v>
      </c>
      <c r="G25" s="2"/>
      <c r="H25" s="2" t="s">
        <v>137</v>
      </c>
      <c r="I25" s="24">
        <v>43423</v>
      </c>
      <c r="J25" s="2"/>
      <c r="K25" s="25"/>
      <c r="L25" s="2" t="s">
        <v>2473</v>
      </c>
      <c r="M25" s="25"/>
      <c r="N25" s="56"/>
    </row>
    <row r="26" spans="1:14" s="1" customFormat="1" hidden="1" x14ac:dyDescent="0.35">
      <c r="A26" s="5" t="s">
        <v>139</v>
      </c>
      <c r="B26" s="2" t="s">
        <v>140</v>
      </c>
      <c r="C26" s="2" t="s">
        <v>141</v>
      </c>
      <c r="D26" s="2" t="s">
        <v>50</v>
      </c>
      <c r="E26" s="26" t="s">
        <v>2476</v>
      </c>
      <c r="F26" s="2" t="s">
        <v>3605</v>
      </c>
      <c r="G26" s="2"/>
      <c r="H26" s="2" t="s">
        <v>119</v>
      </c>
      <c r="I26" s="24">
        <v>43507</v>
      </c>
      <c r="J26" s="2"/>
      <c r="K26" s="25"/>
      <c r="L26" s="2" t="s">
        <v>2473</v>
      </c>
      <c r="M26" s="25"/>
      <c r="N26" s="56"/>
    </row>
    <row r="27" spans="1:14" s="1" customFormat="1" hidden="1" x14ac:dyDescent="0.35">
      <c r="A27" s="5" t="s">
        <v>142</v>
      </c>
      <c r="B27" s="2" t="s">
        <v>143</v>
      </c>
      <c r="C27" s="2" t="s">
        <v>144</v>
      </c>
      <c r="D27" s="2" t="s">
        <v>50</v>
      </c>
      <c r="E27" s="26" t="s">
        <v>2476</v>
      </c>
      <c r="F27" s="2" t="s">
        <v>3605</v>
      </c>
      <c r="G27" s="2"/>
      <c r="H27" s="2" t="s">
        <v>80</v>
      </c>
      <c r="I27" s="24">
        <v>43515</v>
      </c>
      <c r="J27" s="2"/>
      <c r="K27" s="25"/>
      <c r="L27" s="2" t="s">
        <v>2473</v>
      </c>
      <c r="M27" s="25"/>
      <c r="N27" s="56"/>
    </row>
    <row r="28" spans="1:14" s="1" customFormat="1" hidden="1" x14ac:dyDescent="0.35">
      <c r="A28" s="5" t="s">
        <v>121</v>
      </c>
      <c r="B28" s="2" t="s">
        <v>120</v>
      </c>
      <c r="C28" s="2" t="s">
        <v>145</v>
      </c>
      <c r="D28" s="2" t="s">
        <v>29</v>
      </c>
      <c r="E28" s="26" t="s">
        <v>2476</v>
      </c>
      <c r="F28" s="2" t="s">
        <v>3606</v>
      </c>
      <c r="G28" s="2"/>
      <c r="H28" s="2" t="s">
        <v>60</v>
      </c>
      <c r="I28" s="24">
        <v>43557</v>
      </c>
      <c r="J28" s="2"/>
      <c r="K28" s="25"/>
      <c r="L28" s="2" t="s">
        <v>2473</v>
      </c>
      <c r="M28" s="25"/>
      <c r="N28" s="56"/>
    </row>
    <row r="29" spans="1:14" s="1" customFormat="1" hidden="1" x14ac:dyDescent="0.35">
      <c r="A29" s="5" t="s">
        <v>146</v>
      </c>
      <c r="B29" s="2" t="s">
        <v>147</v>
      </c>
      <c r="C29" s="2" t="s">
        <v>148</v>
      </c>
      <c r="D29" s="2" t="s">
        <v>20</v>
      </c>
      <c r="E29" s="2" t="s">
        <v>20</v>
      </c>
      <c r="F29" s="2" t="s">
        <v>20</v>
      </c>
      <c r="G29" s="2" t="s">
        <v>149</v>
      </c>
      <c r="H29" s="2" t="s">
        <v>150</v>
      </c>
      <c r="I29" s="24">
        <v>43668</v>
      </c>
      <c r="J29" s="2"/>
      <c r="K29" s="25"/>
      <c r="L29" s="2" t="s">
        <v>2473</v>
      </c>
      <c r="M29" s="25"/>
      <c r="N29" s="56"/>
    </row>
    <row r="30" spans="1:14" s="1" customFormat="1" hidden="1" x14ac:dyDescent="0.35">
      <c r="A30" s="5" t="s">
        <v>153</v>
      </c>
      <c r="B30" s="2" t="s">
        <v>154</v>
      </c>
      <c r="C30" s="2" t="s">
        <v>155</v>
      </c>
      <c r="D30" s="2" t="s">
        <v>20</v>
      </c>
      <c r="E30" s="2" t="s">
        <v>20</v>
      </c>
      <c r="F30" s="2" t="s">
        <v>20</v>
      </c>
      <c r="G30" s="2" t="s">
        <v>157</v>
      </c>
      <c r="H30" s="2" t="s">
        <v>158</v>
      </c>
      <c r="I30" s="24">
        <v>43703</v>
      </c>
      <c r="J30" s="2"/>
      <c r="K30" s="25"/>
      <c r="L30" s="2" t="s">
        <v>2473</v>
      </c>
      <c r="M30" s="25"/>
      <c r="N30" s="56"/>
    </row>
    <row r="31" spans="1:14" s="1" customFormat="1" hidden="1" x14ac:dyDescent="0.35">
      <c r="A31" s="5" t="s">
        <v>159</v>
      </c>
      <c r="B31" s="2" t="s">
        <v>160</v>
      </c>
      <c r="C31" s="2" t="s">
        <v>161</v>
      </c>
      <c r="D31" s="2" t="s">
        <v>29</v>
      </c>
      <c r="E31" s="26" t="s">
        <v>2476</v>
      </c>
      <c r="F31" s="2" t="s">
        <v>3606</v>
      </c>
      <c r="G31" s="2"/>
      <c r="H31" s="2" t="s">
        <v>119</v>
      </c>
      <c r="I31" s="24">
        <v>43703</v>
      </c>
      <c r="J31" s="2"/>
      <c r="K31" s="25"/>
      <c r="L31" s="2" t="s">
        <v>2473</v>
      </c>
      <c r="M31" s="25"/>
      <c r="N31" s="56"/>
    </row>
    <row r="32" spans="1:14" s="1" customFormat="1" hidden="1" x14ac:dyDescent="0.35">
      <c r="A32" s="5" t="s">
        <v>162</v>
      </c>
      <c r="B32" s="2" t="s">
        <v>163</v>
      </c>
      <c r="C32" s="2" t="s">
        <v>164</v>
      </c>
      <c r="D32" s="2" t="s">
        <v>20</v>
      </c>
      <c r="E32" s="2" t="s">
        <v>20</v>
      </c>
      <c r="F32" s="2" t="s">
        <v>20</v>
      </c>
      <c r="G32" s="2" t="s">
        <v>165</v>
      </c>
      <c r="H32" s="2" t="s">
        <v>166</v>
      </c>
      <c r="I32" s="24">
        <v>43731</v>
      </c>
      <c r="J32" s="2"/>
      <c r="K32" s="25"/>
      <c r="L32" s="2" t="s">
        <v>2473</v>
      </c>
      <c r="M32" s="25"/>
      <c r="N32" s="56"/>
    </row>
    <row r="33" spans="1:14" s="1" customFormat="1" hidden="1" x14ac:dyDescent="0.35">
      <c r="A33" s="5" t="s">
        <v>167</v>
      </c>
      <c r="B33" s="2" t="s">
        <v>168</v>
      </c>
      <c r="C33" s="2" t="s">
        <v>169</v>
      </c>
      <c r="D33" s="2" t="s">
        <v>20</v>
      </c>
      <c r="E33" s="2" t="s">
        <v>20</v>
      </c>
      <c r="F33" s="2" t="s">
        <v>20</v>
      </c>
      <c r="G33" s="2" t="s">
        <v>71</v>
      </c>
      <c r="H33" s="2" t="s">
        <v>170</v>
      </c>
      <c r="I33" s="24">
        <v>43759</v>
      </c>
      <c r="J33" s="2"/>
      <c r="K33" s="25"/>
      <c r="L33" s="2" t="s">
        <v>2473</v>
      </c>
      <c r="M33" s="25"/>
      <c r="N33" s="56"/>
    </row>
    <row r="34" spans="1:14" s="1" customFormat="1" hidden="1" x14ac:dyDescent="0.35">
      <c r="A34" s="5" t="s">
        <v>171</v>
      </c>
      <c r="B34" s="2" t="s">
        <v>172</v>
      </c>
      <c r="C34" s="2" t="s">
        <v>173</v>
      </c>
      <c r="D34" s="2" t="s">
        <v>20</v>
      </c>
      <c r="E34" s="2" t="s">
        <v>20</v>
      </c>
      <c r="F34" s="2" t="s">
        <v>20</v>
      </c>
      <c r="G34" s="2" t="s">
        <v>165</v>
      </c>
      <c r="H34" s="2" t="s">
        <v>175</v>
      </c>
      <c r="I34" s="24">
        <v>43787</v>
      </c>
      <c r="J34" s="2"/>
      <c r="K34" s="25"/>
      <c r="L34" s="2" t="s">
        <v>2473</v>
      </c>
      <c r="M34" s="25"/>
      <c r="N34" s="56"/>
    </row>
    <row r="35" spans="1:14" s="1" customFormat="1" hidden="1" x14ac:dyDescent="0.35">
      <c r="A35" s="5" t="s">
        <v>176</v>
      </c>
      <c r="B35" s="2" t="s">
        <v>177</v>
      </c>
      <c r="C35" s="2" t="s">
        <v>178</v>
      </c>
      <c r="D35" s="2" t="s">
        <v>50</v>
      </c>
      <c r="E35" s="26" t="s">
        <v>2476</v>
      </c>
      <c r="F35" s="2" t="s">
        <v>3605</v>
      </c>
      <c r="G35" s="2"/>
      <c r="H35" s="2" t="s">
        <v>179</v>
      </c>
      <c r="I35" s="24">
        <v>43801</v>
      </c>
      <c r="J35" s="2"/>
      <c r="K35" s="25"/>
      <c r="L35" s="2" t="s">
        <v>2473</v>
      </c>
      <c r="M35" s="25"/>
      <c r="N35" s="56"/>
    </row>
    <row r="36" spans="1:14" s="1" customFormat="1" hidden="1" x14ac:dyDescent="0.35">
      <c r="A36" s="5" t="s">
        <v>180</v>
      </c>
      <c r="B36" s="5" t="s">
        <v>181</v>
      </c>
      <c r="C36" s="5" t="s">
        <v>182</v>
      </c>
      <c r="D36" s="5" t="s">
        <v>29</v>
      </c>
      <c r="E36" s="5" t="s">
        <v>395</v>
      </c>
      <c r="F36" s="2" t="s">
        <v>395</v>
      </c>
      <c r="G36" s="6"/>
      <c r="H36" s="5" t="s">
        <v>183</v>
      </c>
      <c r="I36" s="7">
        <v>43906</v>
      </c>
      <c r="J36" s="31" t="s">
        <v>3641</v>
      </c>
      <c r="K36" s="6" t="s">
        <v>18</v>
      </c>
      <c r="L36" s="2" t="s">
        <v>2473</v>
      </c>
      <c r="M36" s="25"/>
      <c r="N36" s="56"/>
    </row>
    <row r="37" spans="1:14" s="1" customFormat="1" hidden="1" x14ac:dyDescent="0.35">
      <c r="A37" s="5" t="s">
        <v>184</v>
      </c>
      <c r="B37" s="5" t="s">
        <v>185</v>
      </c>
      <c r="C37" s="5" t="s">
        <v>186</v>
      </c>
      <c r="D37" s="5" t="s">
        <v>29</v>
      </c>
      <c r="E37" s="5" t="s">
        <v>395</v>
      </c>
      <c r="F37" s="2" t="s">
        <v>395</v>
      </c>
      <c r="G37" s="6"/>
      <c r="H37" s="5" t="s">
        <v>187</v>
      </c>
      <c r="I37" s="7">
        <v>44004</v>
      </c>
      <c r="J37" s="6" t="s">
        <v>56</v>
      </c>
      <c r="K37" s="6" t="s">
        <v>33</v>
      </c>
      <c r="L37" s="25" t="s">
        <v>2475</v>
      </c>
      <c r="M37" s="25"/>
      <c r="N37" s="56"/>
    </row>
    <row r="38" spans="1:14" s="1" customFormat="1" hidden="1" x14ac:dyDescent="0.35">
      <c r="A38" s="5" t="s">
        <v>191</v>
      </c>
      <c r="B38" s="5" t="s">
        <v>192</v>
      </c>
      <c r="C38" s="5" t="s">
        <v>193</v>
      </c>
      <c r="D38" s="5" t="s">
        <v>29</v>
      </c>
      <c r="E38" s="5" t="s">
        <v>395</v>
      </c>
      <c r="F38" s="2" t="s">
        <v>395</v>
      </c>
      <c r="G38" s="6"/>
      <c r="H38" s="5" t="s">
        <v>194</v>
      </c>
      <c r="I38" s="7">
        <v>44018</v>
      </c>
      <c r="J38" s="6" t="s">
        <v>56</v>
      </c>
      <c r="K38" s="6" t="s">
        <v>33</v>
      </c>
      <c r="L38" s="25" t="s">
        <v>2475</v>
      </c>
      <c r="M38" s="25"/>
      <c r="N38" s="56"/>
    </row>
    <row r="39" spans="1:14" s="1" customFormat="1" hidden="1" x14ac:dyDescent="0.35">
      <c r="A39" s="5" t="s">
        <v>195</v>
      </c>
      <c r="B39" s="2" t="s">
        <v>196</v>
      </c>
      <c r="C39" s="2" t="s">
        <v>197</v>
      </c>
      <c r="D39" s="2" t="s">
        <v>20</v>
      </c>
      <c r="E39" s="2" t="s">
        <v>20</v>
      </c>
      <c r="F39" s="2" t="s">
        <v>20</v>
      </c>
      <c r="G39" s="2" t="s">
        <v>21</v>
      </c>
      <c r="H39" s="2" t="s">
        <v>198</v>
      </c>
      <c r="I39" s="24">
        <v>44004</v>
      </c>
      <c r="J39" s="2"/>
      <c r="K39" s="25"/>
      <c r="L39" s="2" t="s">
        <v>2473</v>
      </c>
      <c r="M39" s="25"/>
      <c r="N39" s="56"/>
    </row>
    <row r="40" spans="1:14" s="1" customFormat="1" hidden="1" x14ac:dyDescent="0.35">
      <c r="A40" s="5" t="s">
        <v>199</v>
      </c>
      <c r="B40" s="5" t="s">
        <v>200</v>
      </c>
      <c r="C40" s="5" t="s">
        <v>201</v>
      </c>
      <c r="D40" s="5" t="s">
        <v>29</v>
      </c>
      <c r="E40" s="5" t="s">
        <v>395</v>
      </c>
      <c r="F40" s="2" t="s">
        <v>395</v>
      </c>
      <c r="G40" s="6"/>
      <c r="H40" s="5" t="s">
        <v>202</v>
      </c>
      <c r="I40" s="7">
        <v>44042</v>
      </c>
      <c r="J40" s="6" t="s">
        <v>56</v>
      </c>
      <c r="K40" s="6" t="s">
        <v>33</v>
      </c>
      <c r="L40" s="25" t="s">
        <v>2475</v>
      </c>
      <c r="M40" s="25"/>
      <c r="N40" s="56"/>
    </row>
    <row r="41" spans="1:14" s="1" customFormat="1" hidden="1" x14ac:dyDescent="0.35">
      <c r="A41" s="5" t="s">
        <v>203</v>
      </c>
      <c r="B41" s="2" t="s">
        <v>204</v>
      </c>
      <c r="C41" s="2" t="s">
        <v>205</v>
      </c>
      <c r="D41" s="2" t="s">
        <v>20</v>
      </c>
      <c r="E41" s="2" t="s">
        <v>20</v>
      </c>
      <c r="F41" s="2" t="s">
        <v>20</v>
      </c>
      <c r="G41" s="2" t="s">
        <v>43</v>
      </c>
      <c r="H41" s="2" t="s">
        <v>206</v>
      </c>
      <c r="I41" s="24">
        <v>44050</v>
      </c>
      <c r="J41" s="2"/>
      <c r="K41" s="25"/>
      <c r="L41" s="2" t="s">
        <v>2473</v>
      </c>
      <c r="M41" s="25"/>
      <c r="N41" s="56"/>
    </row>
    <row r="42" spans="1:14" s="1" customFormat="1" hidden="1" x14ac:dyDescent="0.35">
      <c r="A42" s="5" t="s">
        <v>189</v>
      </c>
      <c r="B42" s="5" t="s">
        <v>188</v>
      </c>
      <c r="C42" s="5" t="s">
        <v>207</v>
      </c>
      <c r="D42" s="5" t="s">
        <v>29</v>
      </c>
      <c r="E42" s="5" t="s">
        <v>395</v>
      </c>
      <c r="F42" s="2" t="s">
        <v>395</v>
      </c>
      <c r="G42" s="6"/>
      <c r="H42" s="5" t="s">
        <v>208</v>
      </c>
      <c r="I42" s="7">
        <v>44071</v>
      </c>
      <c r="J42" s="6" t="s">
        <v>56</v>
      </c>
      <c r="K42" s="6" t="s">
        <v>18</v>
      </c>
      <c r="L42" s="25" t="s">
        <v>2473</v>
      </c>
      <c r="M42" s="25"/>
      <c r="N42" s="56"/>
    </row>
    <row r="43" spans="1:14" s="1" customFormat="1" hidden="1" x14ac:dyDescent="0.35">
      <c r="A43" s="5" t="s">
        <v>209</v>
      </c>
      <c r="B43" s="5" t="s">
        <v>210</v>
      </c>
      <c r="C43" s="5" t="s">
        <v>211</v>
      </c>
      <c r="D43" s="5" t="s">
        <v>29</v>
      </c>
      <c r="E43" s="5" t="s">
        <v>395</v>
      </c>
      <c r="F43" s="2" t="s">
        <v>395</v>
      </c>
      <c r="G43" s="6"/>
      <c r="H43" s="5" t="s">
        <v>212</v>
      </c>
      <c r="I43" s="7">
        <v>44146</v>
      </c>
      <c r="J43" s="6" t="s">
        <v>2779</v>
      </c>
      <c r="K43" s="6" t="s">
        <v>18</v>
      </c>
      <c r="L43" s="25" t="s">
        <v>2473</v>
      </c>
      <c r="M43" s="25"/>
      <c r="N43" s="56"/>
    </row>
    <row r="44" spans="1:14" s="1" customFormat="1" hidden="1" x14ac:dyDescent="0.35">
      <c r="A44" s="5" t="s">
        <v>213</v>
      </c>
      <c r="B44" s="2" t="s">
        <v>214</v>
      </c>
      <c r="C44" s="2" t="s">
        <v>215</v>
      </c>
      <c r="D44" s="2" t="s">
        <v>20</v>
      </c>
      <c r="E44" s="2" t="s">
        <v>20</v>
      </c>
      <c r="F44" s="2" t="s">
        <v>20</v>
      </c>
      <c r="G44" s="2" t="s">
        <v>165</v>
      </c>
      <c r="H44" s="2" t="s">
        <v>216</v>
      </c>
      <c r="I44" s="24">
        <v>44152</v>
      </c>
      <c r="J44" s="2"/>
      <c r="K44" s="25"/>
      <c r="L44" s="2" t="s">
        <v>2473</v>
      </c>
      <c r="M44" s="25"/>
      <c r="N44" s="56"/>
    </row>
    <row r="45" spans="1:14" s="1" customFormat="1" hidden="1" x14ac:dyDescent="0.35">
      <c r="A45" s="5" t="s">
        <v>217</v>
      </c>
      <c r="B45" s="5" t="s">
        <v>218</v>
      </c>
      <c r="C45" s="5" t="s">
        <v>219</v>
      </c>
      <c r="D45" s="5" t="s">
        <v>29</v>
      </c>
      <c r="E45" s="5" t="s">
        <v>395</v>
      </c>
      <c r="F45" s="2" t="s">
        <v>395</v>
      </c>
      <c r="G45" s="6"/>
      <c r="H45" s="5" t="s">
        <v>220</v>
      </c>
      <c r="I45" s="7">
        <v>44312</v>
      </c>
      <c r="J45" s="6" t="s">
        <v>56</v>
      </c>
      <c r="K45" s="6" t="s">
        <v>33</v>
      </c>
      <c r="L45" s="25" t="s">
        <v>2475</v>
      </c>
      <c r="M45" s="25"/>
      <c r="N45" s="56"/>
    </row>
    <row r="46" spans="1:14" s="1" customFormat="1" hidden="1" x14ac:dyDescent="0.35">
      <c r="A46" s="5" t="s">
        <v>222</v>
      </c>
      <c r="B46" s="5" t="s">
        <v>223</v>
      </c>
      <c r="C46" s="5" t="s">
        <v>224</v>
      </c>
      <c r="D46" s="5" t="s">
        <v>29</v>
      </c>
      <c r="E46" s="5" t="s">
        <v>395</v>
      </c>
      <c r="F46" s="2" t="s">
        <v>395</v>
      </c>
      <c r="G46" s="6"/>
      <c r="H46" s="5" t="s">
        <v>226</v>
      </c>
      <c r="I46" s="7">
        <v>44312</v>
      </c>
      <c r="J46" s="6" t="s">
        <v>2529</v>
      </c>
      <c r="K46" s="6" t="s">
        <v>18</v>
      </c>
      <c r="L46" s="2" t="s">
        <v>2473</v>
      </c>
      <c r="M46" s="25"/>
      <c r="N46" s="56"/>
    </row>
    <row r="47" spans="1:14" s="1" customFormat="1" hidden="1" x14ac:dyDescent="0.35">
      <c r="A47" s="5" t="s">
        <v>227</v>
      </c>
      <c r="B47" s="2" t="s">
        <v>228</v>
      </c>
      <c r="C47" s="2" t="s">
        <v>229</v>
      </c>
      <c r="D47" s="2" t="s">
        <v>50</v>
      </c>
      <c r="E47" s="26" t="s">
        <v>2476</v>
      </c>
      <c r="F47" s="2" t="s">
        <v>3605</v>
      </c>
      <c r="G47" s="2"/>
      <c r="H47" s="2" t="s">
        <v>230</v>
      </c>
      <c r="I47" s="24">
        <v>44354</v>
      </c>
      <c r="J47" s="2"/>
      <c r="K47" s="25"/>
      <c r="L47" s="2" t="s">
        <v>2473</v>
      </c>
      <c r="M47" s="25"/>
      <c r="N47" s="56"/>
    </row>
    <row r="48" spans="1:14" s="1" customFormat="1" hidden="1" x14ac:dyDescent="0.35">
      <c r="A48" s="5" t="s">
        <v>231</v>
      </c>
      <c r="B48" s="2" t="s">
        <v>232</v>
      </c>
      <c r="C48" s="2" t="s">
        <v>233</v>
      </c>
      <c r="D48" s="2" t="s">
        <v>37</v>
      </c>
      <c r="E48" s="26" t="s">
        <v>2476</v>
      </c>
      <c r="F48" s="2" t="s">
        <v>3606</v>
      </c>
      <c r="G48" s="2"/>
      <c r="H48" s="2" t="s">
        <v>230</v>
      </c>
      <c r="I48" s="24">
        <v>44368</v>
      </c>
      <c r="J48" s="2"/>
      <c r="K48" s="25"/>
      <c r="L48" s="2" t="s">
        <v>2473</v>
      </c>
      <c r="M48" s="25"/>
      <c r="N48" s="56"/>
    </row>
    <row r="49" spans="1:14" s="1" customFormat="1" hidden="1" x14ac:dyDescent="0.35">
      <c r="A49" s="5" t="s">
        <v>235</v>
      </c>
      <c r="B49" s="5" t="s">
        <v>236</v>
      </c>
      <c r="C49" s="5" t="s">
        <v>237</v>
      </c>
      <c r="D49" s="5" t="s">
        <v>29</v>
      </c>
      <c r="E49" s="5" t="s">
        <v>395</v>
      </c>
      <c r="F49" s="2" t="s">
        <v>395</v>
      </c>
      <c r="G49" s="6"/>
      <c r="H49" s="5" t="s">
        <v>187</v>
      </c>
      <c r="I49" s="7">
        <v>44461</v>
      </c>
      <c r="J49" s="6" t="s">
        <v>56</v>
      </c>
      <c r="K49" s="6" t="s">
        <v>33</v>
      </c>
      <c r="L49" s="25" t="s">
        <v>2475</v>
      </c>
      <c r="M49" s="25"/>
      <c r="N49" s="56"/>
    </row>
    <row r="50" spans="1:14" s="6" customFormat="1" hidden="1" x14ac:dyDescent="0.35">
      <c r="A50" s="5" t="s">
        <v>238</v>
      </c>
      <c r="B50" s="5" t="s">
        <v>239</v>
      </c>
      <c r="C50" s="5" t="s">
        <v>240</v>
      </c>
      <c r="D50" s="5" t="s">
        <v>241</v>
      </c>
      <c r="E50" s="5" t="s">
        <v>241</v>
      </c>
      <c r="F50" s="5" t="s">
        <v>241</v>
      </c>
      <c r="G50" s="5" t="s">
        <v>138</v>
      </c>
      <c r="H50" s="5" t="s">
        <v>243</v>
      </c>
      <c r="I50" s="7">
        <v>44424</v>
      </c>
      <c r="J50" s="5"/>
      <c r="L50" s="5" t="s">
        <v>2474</v>
      </c>
      <c r="N50" s="55"/>
    </row>
    <row r="51" spans="1:14" s="1" customFormat="1" hidden="1" x14ac:dyDescent="0.35">
      <c r="A51" s="5" t="s">
        <v>247</v>
      </c>
      <c r="B51" s="2" t="s">
        <v>248</v>
      </c>
      <c r="C51" s="2" t="s">
        <v>249</v>
      </c>
      <c r="D51" s="2" t="s">
        <v>50</v>
      </c>
      <c r="E51" s="26" t="s">
        <v>2476</v>
      </c>
      <c r="F51" s="2" t="s">
        <v>3605</v>
      </c>
      <c r="G51" s="2"/>
      <c r="H51" s="2" t="s">
        <v>80</v>
      </c>
      <c r="I51" s="24">
        <v>44431</v>
      </c>
      <c r="J51" s="2"/>
      <c r="K51" s="25"/>
      <c r="L51" s="2" t="s">
        <v>2473</v>
      </c>
      <c r="M51" s="25"/>
      <c r="N51" s="56"/>
    </row>
    <row r="52" spans="1:14" s="1" customFormat="1" hidden="1" x14ac:dyDescent="0.35">
      <c r="A52" s="5" t="s">
        <v>252</v>
      </c>
      <c r="B52" s="5" t="s">
        <v>253</v>
      </c>
      <c r="C52" s="5" t="s">
        <v>254</v>
      </c>
      <c r="D52" s="5" t="s">
        <v>29</v>
      </c>
      <c r="E52" s="5" t="s">
        <v>395</v>
      </c>
      <c r="F52" s="2" t="s">
        <v>395</v>
      </c>
      <c r="G52" s="6"/>
      <c r="H52" s="5" t="s">
        <v>194</v>
      </c>
      <c r="I52" s="7">
        <v>44456</v>
      </c>
      <c r="J52" s="6" t="s">
        <v>56</v>
      </c>
      <c r="K52" s="6" t="s">
        <v>33</v>
      </c>
      <c r="L52" s="25" t="s">
        <v>2475</v>
      </c>
      <c r="M52" s="25"/>
      <c r="N52" s="56"/>
    </row>
    <row r="53" spans="1:14" s="1" customFormat="1" hidden="1" x14ac:dyDescent="0.35">
      <c r="A53" s="5" t="s">
        <v>255</v>
      </c>
      <c r="B53" s="2" t="s">
        <v>256</v>
      </c>
      <c r="C53" s="2" t="s">
        <v>257</v>
      </c>
      <c r="D53" s="2" t="s">
        <v>50</v>
      </c>
      <c r="E53" s="26" t="s">
        <v>2476</v>
      </c>
      <c r="F53" s="2" t="s">
        <v>3605</v>
      </c>
      <c r="G53" s="2"/>
      <c r="H53" s="2" t="s">
        <v>230</v>
      </c>
      <c r="I53" s="24">
        <v>44459</v>
      </c>
      <c r="J53" s="2"/>
      <c r="K53" s="25"/>
      <c r="L53" s="2" t="s">
        <v>2473</v>
      </c>
      <c r="M53" s="25"/>
      <c r="N53" s="56"/>
    </row>
    <row r="54" spans="1:14" s="1" customFormat="1" hidden="1" x14ac:dyDescent="0.35">
      <c r="A54" s="5" t="s">
        <v>261</v>
      </c>
      <c r="B54" s="2" t="s">
        <v>262</v>
      </c>
      <c r="C54" s="2" t="s">
        <v>263</v>
      </c>
      <c r="D54" s="2" t="s">
        <v>20</v>
      </c>
      <c r="E54" s="2" t="s">
        <v>20</v>
      </c>
      <c r="F54" s="2" t="s">
        <v>20</v>
      </c>
      <c r="G54" s="2" t="s">
        <v>21</v>
      </c>
      <c r="H54" s="2" t="s">
        <v>264</v>
      </c>
      <c r="I54" s="24">
        <v>44466</v>
      </c>
      <c r="J54" s="2"/>
      <c r="K54" s="25"/>
      <c r="L54" s="2" t="s">
        <v>2473</v>
      </c>
      <c r="M54" s="25"/>
      <c r="N54" s="56"/>
    </row>
    <row r="55" spans="1:14" s="1" customFormat="1" hidden="1" x14ac:dyDescent="0.35">
      <c r="A55" s="5" t="s">
        <v>265</v>
      </c>
      <c r="B55" s="2" t="s">
        <v>266</v>
      </c>
      <c r="C55" s="2" t="s">
        <v>267</v>
      </c>
      <c r="D55" s="2" t="s">
        <v>37</v>
      </c>
      <c r="E55" s="26" t="s">
        <v>2476</v>
      </c>
      <c r="F55" s="2" t="s">
        <v>3606</v>
      </c>
      <c r="G55" s="2"/>
      <c r="H55" s="2" t="s">
        <v>80</v>
      </c>
      <c r="I55" s="24">
        <v>44484</v>
      </c>
      <c r="J55" s="2"/>
      <c r="K55" s="25"/>
      <c r="L55" s="2" t="s">
        <v>2473</v>
      </c>
      <c r="M55" s="25"/>
      <c r="N55" s="56"/>
    </row>
    <row r="56" spans="1:14" s="1" customFormat="1" hidden="1" x14ac:dyDescent="0.35">
      <c r="A56" s="5" t="s">
        <v>268</v>
      </c>
      <c r="B56" s="2" t="s">
        <v>269</v>
      </c>
      <c r="C56" s="2" t="s">
        <v>270</v>
      </c>
      <c r="D56" s="2" t="s">
        <v>20</v>
      </c>
      <c r="E56" s="2" t="s">
        <v>20</v>
      </c>
      <c r="F56" s="2" t="s">
        <v>20</v>
      </c>
      <c r="G56" s="2" t="s">
        <v>157</v>
      </c>
      <c r="H56" s="2" t="s">
        <v>271</v>
      </c>
      <c r="I56" s="24">
        <v>44484</v>
      </c>
      <c r="J56" s="2"/>
      <c r="K56" s="25"/>
      <c r="L56" s="2" t="s">
        <v>2473</v>
      </c>
      <c r="M56" s="25"/>
      <c r="N56" s="56"/>
    </row>
    <row r="57" spans="1:14" s="1" customFormat="1" hidden="1" x14ac:dyDescent="0.35">
      <c r="A57" s="5" t="s">
        <v>275</v>
      </c>
      <c r="B57" s="2" t="s">
        <v>276</v>
      </c>
      <c r="C57" s="2" t="s">
        <v>277</v>
      </c>
      <c r="D57" s="2" t="s">
        <v>20</v>
      </c>
      <c r="E57" s="2" t="s">
        <v>20</v>
      </c>
      <c r="F57" s="2" t="s">
        <v>20</v>
      </c>
      <c r="G57" s="2" t="s">
        <v>43</v>
      </c>
      <c r="H57" s="2" t="s">
        <v>206</v>
      </c>
      <c r="I57" s="24">
        <v>44487</v>
      </c>
      <c r="J57" s="2"/>
      <c r="K57" s="25"/>
      <c r="L57" s="2" t="s">
        <v>2473</v>
      </c>
      <c r="M57" s="25"/>
      <c r="N57" s="56"/>
    </row>
    <row r="58" spans="1:14" s="1" customFormat="1" hidden="1" x14ac:dyDescent="0.35">
      <c r="A58" s="5" t="s">
        <v>82</v>
      </c>
      <c r="B58" s="2" t="s">
        <v>81</v>
      </c>
      <c r="C58" s="2" t="s">
        <v>278</v>
      </c>
      <c r="D58" s="2" t="s">
        <v>37</v>
      </c>
      <c r="E58" s="26" t="s">
        <v>2476</v>
      </c>
      <c r="F58" s="2" t="s">
        <v>3606</v>
      </c>
      <c r="G58" s="2"/>
      <c r="H58" s="2" t="s">
        <v>67</v>
      </c>
      <c r="I58" s="24">
        <v>44502</v>
      </c>
      <c r="J58" s="2"/>
      <c r="K58" s="25"/>
      <c r="L58" s="2" t="s">
        <v>2473</v>
      </c>
      <c r="M58" s="25"/>
      <c r="N58" s="56"/>
    </row>
    <row r="59" spans="1:14" s="1" customFormat="1" hidden="1" x14ac:dyDescent="0.35">
      <c r="A59" s="5" t="s">
        <v>279</v>
      </c>
      <c r="B59" s="2" t="s">
        <v>280</v>
      </c>
      <c r="C59" s="2" t="s">
        <v>281</v>
      </c>
      <c r="D59" s="2" t="s">
        <v>50</v>
      </c>
      <c r="E59" s="26" t="s">
        <v>2476</v>
      </c>
      <c r="F59" s="2" t="s">
        <v>101</v>
      </c>
      <c r="G59" s="2"/>
      <c r="H59" s="2" t="s">
        <v>115</v>
      </c>
      <c r="I59" s="24">
        <v>44508</v>
      </c>
      <c r="J59" s="2"/>
      <c r="K59" s="25"/>
      <c r="L59" s="2" t="s">
        <v>2473</v>
      </c>
      <c r="M59" s="25"/>
      <c r="N59" s="56"/>
    </row>
    <row r="60" spans="1:14" s="1" customFormat="1" hidden="1" x14ac:dyDescent="0.35">
      <c r="A60" s="5" t="s">
        <v>283</v>
      </c>
      <c r="B60" s="2" t="s">
        <v>284</v>
      </c>
      <c r="C60" s="2" t="s">
        <v>285</v>
      </c>
      <c r="D60" s="2" t="s">
        <v>29</v>
      </c>
      <c r="E60" s="26" t="s">
        <v>2476</v>
      </c>
      <c r="F60" s="2" t="s">
        <v>3605</v>
      </c>
      <c r="G60" s="2"/>
      <c r="H60" s="2" t="s">
        <v>230</v>
      </c>
      <c r="I60" s="24">
        <v>44512</v>
      </c>
      <c r="J60" s="2"/>
      <c r="K60" s="25"/>
      <c r="L60" s="2" t="s">
        <v>2473</v>
      </c>
      <c r="M60" s="25"/>
      <c r="N60" s="56"/>
    </row>
    <row r="61" spans="1:14" s="1" customFormat="1" hidden="1" x14ac:dyDescent="0.35">
      <c r="A61" s="5" t="s">
        <v>287</v>
      </c>
      <c r="B61" s="2" t="s">
        <v>288</v>
      </c>
      <c r="C61" s="2" t="s">
        <v>289</v>
      </c>
      <c r="D61" s="2" t="s">
        <v>20</v>
      </c>
      <c r="E61" s="2" t="s">
        <v>20</v>
      </c>
      <c r="F61" s="2" t="s">
        <v>20</v>
      </c>
      <c r="G61" s="2" t="s">
        <v>290</v>
      </c>
      <c r="H61" s="2" t="s">
        <v>291</v>
      </c>
      <c r="I61" s="24">
        <v>44512</v>
      </c>
      <c r="J61" s="2"/>
      <c r="K61" s="25"/>
      <c r="L61" s="2" t="s">
        <v>2473</v>
      </c>
      <c r="M61" s="25"/>
      <c r="N61" s="56"/>
    </row>
    <row r="62" spans="1:14" s="1" customFormat="1" hidden="1" x14ac:dyDescent="0.35">
      <c r="A62" s="5" t="s">
        <v>292</v>
      </c>
      <c r="B62" s="5" t="s">
        <v>293</v>
      </c>
      <c r="C62" s="5" t="s">
        <v>294</v>
      </c>
      <c r="D62" s="5" t="s">
        <v>29</v>
      </c>
      <c r="E62" s="5" t="s">
        <v>395</v>
      </c>
      <c r="F62" s="2" t="s">
        <v>395</v>
      </c>
      <c r="G62" s="6"/>
      <c r="H62" s="5" t="s">
        <v>194</v>
      </c>
      <c r="I62" s="7">
        <v>44519</v>
      </c>
      <c r="J62" s="6" t="s">
        <v>56</v>
      </c>
      <c r="K62" s="6" t="s">
        <v>33</v>
      </c>
      <c r="L62" s="25" t="s">
        <v>2475</v>
      </c>
      <c r="M62" s="25"/>
      <c r="N62" s="56"/>
    </row>
    <row r="63" spans="1:14" s="1" customFormat="1" hidden="1" x14ac:dyDescent="0.35">
      <c r="A63" s="5" t="s">
        <v>295</v>
      </c>
      <c r="B63" s="5" t="s">
        <v>296</v>
      </c>
      <c r="C63" s="5" t="s">
        <v>297</v>
      </c>
      <c r="D63" s="5" t="s">
        <v>29</v>
      </c>
      <c r="E63" s="5" t="s">
        <v>395</v>
      </c>
      <c r="F63" s="2" t="s">
        <v>395</v>
      </c>
      <c r="G63" s="6"/>
      <c r="H63" s="5" t="s">
        <v>194</v>
      </c>
      <c r="I63" s="7">
        <v>44522</v>
      </c>
      <c r="J63" s="6" t="s">
        <v>56</v>
      </c>
      <c r="K63" s="6" t="s">
        <v>33</v>
      </c>
      <c r="L63" s="25" t="s">
        <v>2475</v>
      </c>
      <c r="M63" s="25"/>
      <c r="N63" s="56"/>
    </row>
    <row r="64" spans="1:14" s="1" customFormat="1" hidden="1" x14ac:dyDescent="0.35">
      <c r="A64" s="5" t="s">
        <v>298</v>
      </c>
      <c r="B64" s="2" t="s">
        <v>299</v>
      </c>
      <c r="C64" s="2" t="s">
        <v>300</v>
      </c>
      <c r="D64" s="2" t="s">
        <v>20</v>
      </c>
      <c r="E64" s="2" t="s">
        <v>20</v>
      </c>
      <c r="F64" s="2" t="s">
        <v>20</v>
      </c>
      <c r="G64" s="2" t="s">
        <v>43</v>
      </c>
      <c r="H64" s="2" t="s">
        <v>301</v>
      </c>
      <c r="I64" s="24">
        <v>44536</v>
      </c>
      <c r="J64" s="2"/>
      <c r="K64" s="25"/>
      <c r="L64" s="2" t="s">
        <v>2473</v>
      </c>
      <c r="M64" s="25"/>
      <c r="N64" s="56"/>
    </row>
    <row r="65" spans="1:14" s="1" customFormat="1" hidden="1" x14ac:dyDescent="0.35">
      <c r="A65" s="5" t="s">
        <v>302</v>
      </c>
      <c r="B65" s="2" t="s">
        <v>303</v>
      </c>
      <c r="C65" s="2" t="s">
        <v>304</v>
      </c>
      <c r="D65" s="2" t="s">
        <v>20</v>
      </c>
      <c r="E65" s="2" t="s">
        <v>20</v>
      </c>
      <c r="F65" s="2" t="s">
        <v>20</v>
      </c>
      <c r="G65" s="2" t="s">
        <v>149</v>
      </c>
      <c r="H65" s="2" t="s">
        <v>150</v>
      </c>
      <c r="I65" s="24">
        <v>44522</v>
      </c>
      <c r="J65" s="2"/>
      <c r="K65" s="25"/>
      <c r="L65" s="2" t="s">
        <v>2473</v>
      </c>
      <c r="M65" s="25"/>
      <c r="N65" s="56"/>
    </row>
    <row r="66" spans="1:14" s="1" customFormat="1" hidden="1" x14ac:dyDescent="0.35">
      <c r="A66" s="5" t="s">
        <v>305</v>
      </c>
      <c r="B66" s="2" t="s">
        <v>306</v>
      </c>
      <c r="C66" s="2" t="s">
        <v>307</v>
      </c>
      <c r="D66" s="2" t="s">
        <v>50</v>
      </c>
      <c r="E66" s="26" t="s">
        <v>2476</v>
      </c>
      <c r="F66" s="2" t="s">
        <v>3605</v>
      </c>
      <c r="G66" s="2"/>
      <c r="H66" s="2" t="s">
        <v>230</v>
      </c>
      <c r="I66" s="24">
        <v>44533</v>
      </c>
      <c r="J66" s="2"/>
      <c r="K66" s="25"/>
      <c r="L66" s="2" t="s">
        <v>2473</v>
      </c>
      <c r="M66" s="25"/>
      <c r="N66" s="56"/>
    </row>
    <row r="67" spans="1:14" s="1" customFormat="1" hidden="1" x14ac:dyDescent="0.35">
      <c r="A67" s="5" t="s">
        <v>308</v>
      </c>
      <c r="B67" s="2" t="s">
        <v>309</v>
      </c>
      <c r="C67" s="2" t="s">
        <v>310</v>
      </c>
      <c r="D67" s="2" t="s">
        <v>29</v>
      </c>
      <c r="E67" s="26" t="s">
        <v>2476</v>
      </c>
      <c r="F67" s="2" t="s">
        <v>3605</v>
      </c>
      <c r="G67" s="2"/>
      <c r="H67" s="2" t="s">
        <v>80</v>
      </c>
      <c r="I67" s="24">
        <v>44531</v>
      </c>
      <c r="J67" s="2"/>
      <c r="K67" s="25"/>
      <c r="L67" s="2" t="s">
        <v>2473</v>
      </c>
      <c r="M67" s="25"/>
      <c r="N67" s="56"/>
    </row>
    <row r="68" spans="1:14" s="1" customFormat="1" hidden="1" x14ac:dyDescent="0.35">
      <c r="A68" s="5" t="s">
        <v>311</v>
      </c>
      <c r="B68" s="2" t="s">
        <v>312</v>
      </c>
      <c r="C68" s="2" t="s">
        <v>313</v>
      </c>
      <c r="D68" s="2" t="s">
        <v>20</v>
      </c>
      <c r="E68" s="2" t="s">
        <v>20</v>
      </c>
      <c r="F68" s="2" t="s">
        <v>20</v>
      </c>
      <c r="G68" s="2" t="s">
        <v>149</v>
      </c>
      <c r="H68" s="2" t="s">
        <v>314</v>
      </c>
      <c r="I68" s="24">
        <v>44536</v>
      </c>
      <c r="J68" s="2"/>
      <c r="K68" s="25"/>
      <c r="L68" s="2" t="s">
        <v>3634</v>
      </c>
      <c r="M68" s="25"/>
      <c r="N68" s="56"/>
    </row>
    <row r="69" spans="1:14" s="1" customFormat="1" hidden="1" x14ac:dyDescent="0.35">
      <c r="A69" s="5" t="s">
        <v>315</v>
      </c>
      <c r="B69" s="2" t="s">
        <v>316</v>
      </c>
      <c r="C69" s="2" t="s">
        <v>317</v>
      </c>
      <c r="D69" s="2" t="s">
        <v>20</v>
      </c>
      <c r="E69" s="2" t="s">
        <v>20</v>
      </c>
      <c r="F69" s="2" t="s">
        <v>20</v>
      </c>
      <c r="G69" s="2" t="s">
        <v>43</v>
      </c>
      <c r="H69" s="2" t="s">
        <v>318</v>
      </c>
      <c r="I69" s="24">
        <v>44536</v>
      </c>
      <c r="J69" s="2"/>
      <c r="K69" s="25"/>
      <c r="L69" s="2" t="s">
        <v>2473</v>
      </c>
      <c r="M69" s="25"/>
      <c r="N69" s="56"/>
    </row>
    <row r="70" spans="1:14" s="1" customFormat="1" hidden="1" x14ac:dyDescent="0.35">
      <c r="A70" s="5" t="s">
        <v>319</v>
      </c>
      <c r="B70" s="2" t="s">
        <v>320</v>
      </c>
      <c r="C70" s="2" t="s">
        <v>321</v>
      </c>
      <c r="D70" s="2" t="s">
        <v>29</v>
      </c>
      <c r="E70" s="26" t="s">
        <v>2476</v>
      </c>
      <c r="F70" s="2" t="s">
        <v>3605</v>
      </c>
      <c r="G70" s="2"/>
      <c r="H70" s="2" t="s">
        <v>230</v>
      </c>
      <c r="I70" s="24">
        <v>44543</v>
      </c>
      <c r="J70" s="2"/>
      <c r="K70" s="25"/>
      <c r="L70" s="2" t="s">
        <v>2473</v>
      </c>
      <c r="M70" s="25"/>
      <c r="N70" s="56"/>
    </row>
    <row r="71" spans="1:14" s="1" customFormat="1" hidden="1" x14ac:dyDescent="0.35">
      <c r="A71" s="5" t="s">
        <v>322</v>
      </c>
      <c r="B71" s="2" t="s">
        <v>323</v>
      </c>
      <c r="C71" s="2" t="s">
        <v>324</v>
      </c>
      <c r="D71" s="2" t="s">
        <v>20</v>
      </c>
      <c r="E71" s="2" t="s">
        <v>20</v>
      </c>
      <c r="F71" s="2" t="s">
        <v>20</v>
      </c>
      <c r="G71" s="2" t="s">
        <v>165</v>
      </c>
      <c r="H71" s="2" t="s">
        <v>325</v>
      </c>
      <c r="I71" s="24">
        <v>44578</v>
      </c>
      <c r="J71" s="2"/>
      <c r="K71" s="25"/>
      <c r="L71" s="2" t="s">
        <v>2473</v>
      </c>
      <c r="M71" s="25"/>
      <c r="N71" s="56"/>
    </row>
    <row r="72" spans="1:14" s="1" customFormat="1" hidden="1" x14ac:dyDescent="0.35">
      <c r="A72" s="5" t="s">
        <v>326</v>
      </c>
      <c r="B72" s="2" t="s">
        <v>327</v>
      </c>
      <c r="C72" s="2" t="s">
        <v>328</v>
      </c>
      <c r="D72" s="2" t="s">
        <v>20</v>
      </c>
      <c r="E72" s="2" t="s">
        <v>20</v>
      </c>
      <c r="F72" s="2" t="s">
        <v>20</v>
      </c>
      <c r="G72" s="2" t="s">
        <v>329</v>
      </c>
      <c r="H72" s="2" t="s">
        <v>330</v>
      </c>
      <c r="I72" s="24">
        <v>44578</v>
      </c>
      <c r="J72" s="2"/>
      <c r="K72" s="25"/>
      <c r="L72" s="2" t="s">
        <v>2473</v>
      </c>
      <c r="M72" s="25"/>
      <c r="N72" s="56"/>
    </row>
    <row r="73" spans="1:14" s="1" customFormat="1" hidden="1" x14ac:dyDescent="0.35">
      <c r="A73" s="5" t="s">
        <v>331</v>
      </c>
      <c r="B73" s="2" t="s">
        <v>332</v>
      </c>
      <c r="C73" s="2" t="s">
        <v>333</v>
      </c>
      <c r="D73" s="2" t="s">
        <v>50</v>
      </c>
      <c r="E73" s="26" t="s">
        <v>2476</v>
      </c>
      <c r="F73" s="2" t="s">
        <v>3605</v>
      </c>
      <c r="G73" s="2"/>
      <c r="H73" s="2" t="s">
        <v>230</v>
      </c>
      <c r="I73" s="24">
        <v>44592</v>
      </c>
      <c r="J73" s="2"/>
      <c r="K73" s="25"/>
      <c r="L73" s="2" t="s">
        <v>2473</v>
      </c>
      <c r="M73" s="25"/>
      <c r="N73" s="56"/>
    </row>
    <row r="74" spans="1:14" s="1" customFormat="1" hidden="1" x14ac:dyDescent="0.35">
      <c r="A74" s="5" t="s">
        <v>336</v>
      </c>
      <c r="B74" s="5" t="s">
        <v>337</v>
      </c>
      <c r="C74" s="5" t="s">
        <v>338</v>
      </c>
      <c r="D74" s="5" t="s">
        <v>29</v>
      </c>
      <c r="E74" s="5" t="s">
        <v>395</v>
      </c>
      <c r="F74" s="2" t="s">
        <v>395</v>
      </c>
      <c r="G74" s="6"/>
      <c r="H74" s="5" t="s">
        <v>339</v>
      </c>
      <c r="I74" s="7">
        <v>44622</v>
      </c>
      <c r="J74" s="6" t="s">
        <v>2685</v>
      </c>
      <c r="K74" s="6" t="s">
        <v>33</v>
      </c>
      <c r="L74" s="25" t="s">
        <v>2475</v>
      </c>
      <c r="M74" s="25"/>
      <c r="N74" s="56"/>
    </row>
    <row r="75" spans="1:14" s="1" customFormat="1" hidden="1" x14ac:dyDescent="0.35">
      <c r="A75" s="5" t="s">
        <v>340</v>
      </c>
      <c r="B75" s="2" t="s">
        <v>341</v>
      </c>
      <c r="C75" s="2" t="s">
        <v>342</v>
      </c>
      <c r="D75" s="2" t="s">
        <v>20</v>
      </c>
      <c r="E75" s="2" t="s">
        <v>20</v>
      </c>
      <c r="F75" s="2" t="s">
        <v>20</v>
      </c>
      <c r="G75" s="2" t="s">
        <v>343</v>
      </c>
      <c r="H75" s="2" t="s">
        <v>344</v>
      </c>
      <c r="I75" s="24">
        <v>44621</v>
      </c>
      <c r="J75" s="2"/>
      <c r="K75" s="25"/>
      <c r="L75" s="2" t="s">
        <v>2473</v>
      </c>
      <c r="M75" s="25"/>
      <c r="N75" s="56"/>
    </row>
    <row r="76" spans="1:14" s="1" customFormat="1" hidden="1" x14ac:dyDescent="0.35">
      <c r="A76" s="5" t="s">
        <v>345</v>
      </c>
      <c r="B76" s="2" t="s">
        <v>346</v>
      </c>
      <c r="C76" s="2" t="s">
        <v>347</v>
      </c>
      <c r="D76" s="2" t="s">
        <v>37</v>
      </c>
      <c r="E76" s="26" t="s">
        <v>2476</v>
      </c>
      <c r="F76" s="2" t="s">
        <v>3606</v>
      </c>
      <c r="G76" s="2"/>
      <c r="H76" s="2" t="s">
        <v>230</v>
      </c>
      <c r="I76" s="24">
        <v>44652</v>
      </c>
      <c r="J76" s="2"/>
      <c r="K76" s="25"/>
      <c r="L76" s="2" t="s">
        <v>2473</v>
      </c>
      <c r="M76" s="25"/>
      <c r="N76" s="56"/>
    </row>
    <row r="77" spans="1:14" s="1" customFormat="1" hidden="1" x14ac:dyDescent="0.35">
      <c r="A77" s="5" t="s">
        <v>348</v>
      </c>
      <c r="B77" s="2" t="s">
        <v>349</v>
      </c>
      <c r="C77" s="2" t="s">
        <v>350</v>
      </c>
      <c r="D77" s="2" t="s">
        <v>50</v>
      </c>
      <c r="E77" s="26" t="s">
        <v>2476</v>
      </c>
      <c r="F77" s="2" t="s">
        <v>3605</v>
      </c>
      <c r="G77" s="2"/>
      <c r="H77" s="2" t="s">
        <v>230</v>
      </c>
      <c r="I77" s="24">
        <v>44655</v>
      </c>
      <c r="J77" s="2"/>
      <c r="K77" s="25"/>
      <c r="L77" s="2" t="s">
        <v>2473</v>
      </c>
      <c r="M77" s="25"/>
      <c r="N77" s="56"/>
    </row>
    <row r="78" spans="1:14" s="1" customFormat="1" hidden="1" x14ac:dyDescent="0.35">
      <c r="A78" s="5" t="s">
        <v>351</v>
      </c>
      <c r="B78" s="5" t="s">
        <v>352</v>
      </c>
      <c r="C78" s="5" t="s">
        <v>353</v>
      </c>
      <c r="D78" s="5" t="s">
        <v>29</v>
      </c>
      <c r="E78" s="5" t="s">
        <v>395</v>
      </c>
      <c r="F78" s="2" t="s">
        <v>395</v>
      </c>
      <c r="G78" s="6"/>
      <c r="H78" s="5" t="s">
        <v>187</v>
      </c>
      <c r="I78" s="7">
        <v>44669</v>
      </c>
      <c r="J78" s="6" t="s">
        <v>56</v>
      </c>
      <c r="K78" s="6" t="s">
        <v>33</v>
      </c>
      <c r="L78" s="25" t="s">
        <v>2475</v>
      </c>
      <c r="M78" s="25"/>
      <c r="N78" s="56"/>
    </row>
    <row r="79" spans="1:14" s="1" customFormat="1" hidden="1" x14ac:dyDescent="0.35">
      <c r="A79" s="5" t="s">
        <v>354</v>
      </c>
      <c r="B79" s="2" t="s">
        <v>355</v>
      </c>
      <c r="C79" s="2" t="s">
        <v>356</v>
      </c>
      <c r="D79" s="2" t="s">
        <v>37</v>
      </c>
      <c r="E79" s="26" t="s">
        <v>2476</v>
      </c>
      <c r="F79" s="2" t="s">
        <v>101</v>
      </c>
      <c r="G79" s="2"/>
      <c r="H79" s="2" t="s">
        <v>115</v>
      </c>
      <c r="I79" s="24">
        <v>44662</v>
      </c>
      <c r="J79" s="2"/>
      <c r="K79" s="25"/>
      <c r="L79" s="2" t="s">
        <v>2473</v>
      </c>
      <c r="M79" s="25"/>
      <c r="N79" s="56"/>
    </row>
    <row r="80" spans="1:14" s="1" customFormat="1" hidden="1" x14ac:dyDescent="0.35">
      <c r="A80" s="5" t="s">
        <v>357</v>
      </c>
      <c r="B80" s="5" t="s">
        <v>358</v>
      </c>
      <c r="C80" s="5" t="s">
        <v>359</v>
      </c>
      <c r="D80" s="5" t="s">
        <v>29</v>
      </c>
      <c r="E80" s="5" t="s">
        <v>395</v>
      </c>
      <c r="F80" s="2" t="s">
        <v>395</v>
      </c>
      <c r="G80" s="6"/>
      <c r="H80" s="5" t="s">
        <v>187</v>
      </c>
      <c r="I80" s="7">
        <v>44673</v>
      </c>
      <c r="J80" s="6" t="s">
        <v>2529</v>
      </c>
      <c r="K80" s="6" t="s">
        <v>18</v>
      </c>
      <c r="L80" s="2" t="s">
        <v>2473</v>
      </c>
      <c r="M80" s="25"/>
      <c r="N80" s="56"/>
    </row>
    <row r="81" spans="1:14" s="1" customFormat="1" hidden="1" x14ac:dyDescent="0.35">
      <c r="A81" s="5" t="s">
        <v>360</v>
      </c>
      <c r="B81" s="2" t="s">
        <v>361</v>
      </c>
      <c r="C81" s="2" t="s">
        <v>362</v>
      </c>
      <c r="D81" s="2" t="s">
        <v>20</v>
      </c>
      <c r="E81" s="2" t="s">
        <v>20</v>
      </c>
      <c r="F81" s="2" t="s">
        <v>20</v>
      </c>
      <c r="G81" s="2" t="s">
        <v>149</v>
      </c>
      <c r="H81" s="2" t="s">
        <v>363</v>
      </c>
      <c r="I81" s="24">
        <v>44669</v>
      </c>
      <c r="J81" s="2"/>
      <c r="K81" s="25"/>
      <c r="L81" s="2" t="s">
        <v>2473</v>
      </c>
      <c r="M81" s="25"/>
      <c r="N81" s="56"/>
    </row>
    <row r="82" spans="1:14" s="1" customFormat="1" hidden="1" x14ac:dyDescent="0.35">
      <c r="A82" s="5" t="s">
        <v>367</v>
      </c>
      <c r="B82" s="2" t="s">
        <v>368</v>
      </c>
      <c r="C82" s="2" t="s">
        <v>369</v>
      </c>
      <c r="D82" s="2" t="s">
        <v>50</v>
      </c>
      <c r="E82" s="26" t="s">
        <v>2476</v>
      </c>
      <c r="F82" s="2" t="s">
        <v>3605</v>
      </c>
      <c r="G82" s="2"/>
      <c r="H82" s="2" t="s">
        <v>370</v>
      </c>
      <c r="I82" s="24">
        <v>44690</v>
      </c>
      <c r="J82" s="2"/>
      <c r="K82" s="25"/>
      <c r="L82" s="2" t="s">
        <v>2473</v>
      </c>
      <c r="M82" s="25"/>
      <c r="N82" s="56"/>
    </row>
    <row r="83" spans="1:14" s="1" customFormat="1" hidden="1" x14ac:dyDescent="0.35">
      <c r="A83" s="5" t="s">
        <v>371</v>
      </c>
      <c r="B83" s="5" t="s">
        <v>372</v>
      </c>
      <c r="C83" s="5" t="s">
        <v>373</v>
      </c>
      <c r="D83" s="5" t="s">
        <v>29</v>
      </c>
      <c r="E83" s="5" t="s">
        <v>395</v>
      </c>
      <c r="F83" s="2" t="s">
        <v>395</v>
      </c>
      <c r="G83" s="6"/>
      <c r="H83" s="5" t="s">
        <v>187</v>
      </c>
      <c r="I83" s="7">
        <v>44713</v>
      </c>
      <c r="J83" s="6" t="s">
        <v>56</v>
      </c>
      <c r="K83" s="6" t="s">
        <v>33</v>
      </c>
      <c r="L83" s="25" t="s">
        <v>2475</v>
      </c>
      <c r="M83" s="25"/>
      <c r="N83" s="56"/>
    </row>
    <row r="84" spans="1:14" s="1" customFormat="1" hidden="1" x14ac:dyDescent="0.35">
      <c r="A84" s="5" t="s">
        <v>374</v>
      </c>
      <c r="B84" s="2" t="s">
        <v>375</v>
      </c>
      <c r="C84" s="2" t="s">
        <v>376</v>
      </c>
      <c r="D84" s="2" t="s">
        <v>20</v>
      </c>
      <c r="E84" s="2" t="s">
        <v>20</v>
      </c>
      <c r="F84" s="2" t="s">
        <v>20</v>
      </c>
      <c r="G84" s="2" t="s">
        <v>71</v>
      </c>
      <c r="H84" s="2" t="s">
        <v>377</v>
      </c>
      <c r="I84" s="24">
        <v>44718</v>
      </c>
      <c r="J84" s="2"/>
      <c r="K84" s="25"/>
      <c r="L84" s="2" t="s">
        <v>2473</v>
      </c>
      <c r="M84" s="25"/>
      <c r="N84" s="56"/>
    </row>
    <row r="85" spans="1:14" s="1" customFormat="1" hidden="1" x14ac:dyDescent="0.35">
      <c r="A85" s="5" t="s">
        <v>378</v>
      </c>
      <c r="B85" s="5" t="s">
        <v>379</v>
      </c>
      <c r="C85" s="5" t="s">
        <v>380</v>
      </c>
      <c r="D85" s="5" t="s">
        <v>29</v>
      </c>
      <c r="E85" s="5" t="s">
        <v>395</v>
      </c>
      <c r="F85" s="2" t="s">
        <v>395</v>
      </c>
      <c r="G85" s="6"/>
      <c r="H85" s="5" t="s">
        <v>381</v>
      </c>
      <c r="I85" s="7">
        <v>44718</v>
      </c>
      <c r="J85" s="6" t="s">
        <v>56</v>
      </c>
      <c r="K85" s="6" t="s">
        <v>18</v>
      </c>
      <c r="L85" s="25" t="s">
        <v>2473</v>
      </c>
      <c r="M85" s="25"/>
      <c r="N85" s="56"/>
    </row>
    <row r="86" spans="1:14" s="1" customFormat="1" hidden="1" x14ac:dyDescent="0.35">
      <c r="A86" s="5" t="s">
        <v>382</v>
      </c>
      <c r="B86" s="2" t="s">
        <v>383</v>
      </c>
      <c r="C86" s="2" t="s">
        <v>384</v>
      </c>
      <c r="D86" s="2" t="s">
        <v>50</v>
      </c>
      <c r="E86" s="26" t="s">
        <v>2476</v>
      </c>
      <c r="F86" s="2" t="s">
        <v>3605</v>
      </c>
      <c r="G86" s="2"/>
      <c r="H86" s="2" t="s">
        <v>230</v>
      </c>
      <c r="I86" s="24">
        <v>44725</v>
      </c>
      <c r="J86" s="2"/>
      <c r="K86" s="25"/>
      <c r="L86" s="2" t="s">
        <v>2473</v>
      </c>
      <c r="M86" s="25"/>
      <c r="N86" s="56"/>
    </row>
    <row r="87" spans="1:14" s="1" customFormat="1" hidden="1" x14ac:dyDescent="0.35">
      <c r="A87" s="5" t="s">
        <v>385</v>
      </c>
      <c r="B87" s="5" t="s">
        <v>386</v>
      </c>
      <c r="C87" s="5" t="s">
        <v>387</v>
      </c>
      <c r="D87" s="5" t="s">
        <v>29</v>
      </c>
      <c r="E87" s="5" t="s">
        <v>395</v>
      </c>
      <c r="F87" s="2" t="s">
        <v>395</v>
      </c>
      <c r="G87" s="6"/>
      <c r="H87" s="5" t="s">
        <v>388</v>
      </c>
      <c r="I87" s="7">
        <v>44743</v>
      </c>
      <c r="J87" s="6" t="s">
        <v>620</v>
      </c>
      <c r="K87" s="6" t="s">
        <v>3621</v>
      </c>
      <c r="L87" s="25" t="s">
        <v>2475</v>
      </c>
      <c r="M87" s="25"/>
      <c r="N87" s="56"/>
    </row>
    <row r="88" spans="1:14" s="1" customFormat="1" hidden="1" x14ac:dyDescent="0.35">
      <c r="A88" s="5" t="s">
        <v>391</v>
      </c>
      <c r="B88" s="2" t="s">
        <v>392</v>
      </c>
      <c r="C88" s="2" t="s">
        <v>393</v>
      </c>
      <c r="D88" s="2" t="s">
        <v>29</v>
      </c>
      <c r="E88" s="26" t="s">
        <v>2476</v>
      </c>
      <c r="F88" s="2" t="s">
        <v>3606</v>
      </c>
      <c r="G88" s="2"/>
      <c r="H88" s="2" t="s">
        <v>394</v>
      </c>
      <c r="I88" s="24">
        <v>44760</v>
      </c>
      <c r="J88" s="2"/>
      <c r="K88" s="25"/>
      <c r="L88" s="2" t="s">
        <v>2473</v>
      </c>
      <c r="M88" s="25"/>
      <c r="N88" s="56"/>
    </row>
    <row r="89" spans="1:14" s="1" customFormat="1" hidden="1" x14ac:dyDescent="0.35">
      <c r="A89" s="5" t="s">
        <v>396</v>
      </c>
      <c r="B89" s="2" t="s">
        <v>397</v>
      </c>
      <c r="C89" s="2" t="s">
        <v>398</v>
      </c>
      <c r="D89" s="2" t="s">
        <v>20</v>
      </c>
      <c r="E89" s="2" t="s">
        <v>20</v>
      </c>
      <c r="F89" s="2" t="s">
        <v>20</v>
      </c>
      <c r="G89" s="2" t="s">
        <v>157</v>
      </c>
      <c r="H89" s="2" t="s">
        <v>399</v>
      </c>
      <c r="I89" s="24">
        <v>44767</v>
      </c>
      <c r="J89" s="2"/>
      <c r="K89" s="25"/>
      <c r="L89" s="2" t="s">
        <v>2473</v>
      </c>
      <c r="M89" s="25"/>
      <c r="N89" s="56"/>
    </row>
    <row r="90" spans="1:14" s="1" customFormat="1" hidden="1" x14ac:dyDescent="0.35">
      <c r="A90" s="5" t="s">
        <v>400</v>
      </c>
      <c r="B90" s="5" t="s">
        <v>401</v>
      </c>
      <c r="C90" s="5" t="s">
        <v>402</v>
      </c>
      <c r="D90" s="5" t="s">
        <v>29</v>
      </c>
      <c r="E90" s="5" t="s">
        <v>395</v>
      </c>
      <c r="F90" s="2" t="s">
        <v>395</v>
      </c>
      <c r="G90" s="6"/>
      <c r="H90" s="5" t="s">
        <v>187</v>
      </c>
      <c r="I90" s="7">
        <v>44767</v>
      </c>
      <c r="J90" s="6" t="s">
        <v>56</v>
      </c>
      <c r="K90" s="6" t="s">
        <v>33</v>
      </c>
      <c r="L90" s="25" t="s">
        <v>2475</v>
      </c>
      <c r="M90" s="25"/>
      <c r="N90" s="56"/>
    </row>
    <row r="91" spans="1:14" s="1" customFormat="1" hidden="1" x14ac:dyDescent="0.35">
      <c r="A91" s="5" t="s">
        <v>403</v>
      </c>
      <c r="B91" s="5" t="s">
        <v>404</v>
      </c>
      <c r="C91" s="5" t="s">
        <v>405</v>
      </c>
      <c r="D91" s="5" t="s">
        <v>29</v>
      </c>
      <c r="E91" s="5" t="s">
        <v>395</v>
      </c>
      <c r="F91" s="2" t="s">
        <v>395</v>
      </c>
      <c r="G91" s="6"/>
      <c r="H91" s="5" t="s">
        <v>194</v>
      </c>
      <c r="I91" s="7">
        <v>44783</v>
      </c>
      <c r="J91" s="6" t="s">
        <v>56</v>
      </c>
      <c r="K91" s="6" t="s">
        <v>33</v>
      </c>
      <c r="L91" s="25" t="s">
        <v>2475</v>
      </c>
      <c r="M91" s="25"/>
      <c r="N91" s="56"/>
    </row>
    <row r="92" spans="1:14" s="1" customFormat="1" hidden="1" x14ac:dyDescent="0.35">
      <c r="A92" s="5" t="s">
        <v>406</v>
      </c>
      <c r="B92" s="2" t="s">
        <v>407</v>
      </c>
      <c r="C92" s="2" t="s">
        <v>408</v>
      </c>
      <c r="D92" s="2" t="s">
        <v>20</v>
      </c>
      <c r="E92" s="2" t="s">
        <v>20</v>
      </c>
      <c r="F92" s="2" t="s">
        <v>20</v>
      </c>
      <c r="G92" s="2" t="s">
        <v>409</v>
      </c>
      <c r="H92" s="2" t="s">
        <v>410</v>
      </c>
      <c r="I92" s="24">
        <v>44795</v>
      </c>
      <c r="J92" s="2"/>
      <c r="K92" s="25"/>
      <c r="L92" s="2" t="s">
        <v>2473</v>
      </c>
      <c r="M92" s="25"/>
      <c r="N92" s="56"/>
    </row>
    <row r="93" spans="1:14" s="1" customFormat="1" hidden="1" x14ac:dyDescent="0.35">
      <c r="A93" s="5" t="s">
        <v>414</v>
      </c>
      <c r="B93" s="2" t="s">
        <v>415</v>
      </c>
      <c r="C93" s="2" t="s">
        <v>416</v>
      </c>
      <c r="D93" s="2" t="s">
        <v>20</v>
      </c>
      <c r="E93" s="2" t="s">
        <v>20</v>
      </c>
      <c r="F93" s="2" t="s">
        <v>20</v>
      </c>
      <c r="G93" s="2" t="s">
        <v>165</v>
      </c>
      <c r="H93" s="2" t="s">
        <v>175</v>
      </c>
      <c r="I93" s="24">
        <v>44795</v>
      </c>
      <c r="J93" s="2"/>
      <c r="K93" s="25"/>
      <c r="L93" s="2" t="s">
        <v>2473</v>
      </c>
      <c r="M93" s="25"/>
      <c r="N93" s="56"/>
    </row>
    <row r="94" spans="1:14" s="1" customFormat="1" hidden="1" x14ac:dyDescent="0.35">
      <c r="A94" s="5" t="s">
        <v>417</v>
      </c>
      <c r="B94" s="2" t="s">
        <v>286</v>
      </c>
      <c r="C94" s="2" t="s">
        <v>418</v>
      </c>
      <c r="D94" s="2" t="s">
        <v>50</v>
      </c>
      <c r="E94" s="26" t="s">
        <v>2476</v>
      </c>
      <c r="F94" s="2" t="s">
        <v>3605</v>
      </c>
      <c r="G94" s="2"/>
      <c r="H94" s="2" t="s">
        <v>119</v>
      </c>
      <c r="I94" s="24">
        <v>44810</v>
      </c>
      <c r="J94" s="2"/>
      <c r="K94" s="25"/>
      <c r="L94" s="2" t="s">
        <v>2473</v>
      </c>
      <c r="M94" s="25"/>
      <c r="N94" s="56"/>
    </row>
    <row r="95" spans="1:14" s="1" customFormat="1" hidden="1" x14ac:dyDescent="0.35">
      <c r="A95" s="5" t="s">
        <v>419</v>
      </c>
      <c r="B95" s="2" t="s">
        <v>420</v>
      </c>
      <c r="C95" s="2" t="s">
        <v>421</v>
      </c>
      <c r="D95" s="2" t="s">
        <v>20</v>
      </c>
      <c r="E95" s="2" t="s">
        <v>20</v>
      </c>
      <c r="F95" s="2" t="s">
        <v>20</v>
      </c>
      <c r="G95" s="2" t="s">
        <v>409</v>
      </c>
      <c r="H95" s="2" t="s">
        <v>422</v>
      </c>
      <c r="I95" s="24">
        <v>44823</v>
      </c>
      <c r="J95" s="2"/>
      <c r="K95" s="25"/>
      <c r="L95" s="2" t="s">
        <v>2473</v>
      </c>
      <c r="M95" s="25"/>
      <c r="N95" s="56"/>
    </row>
    <row r="96" spans="1:14" s="6" customFormat="1" hidden="1" x14ac:dyDescent="0.35">
      <c r="A96" s="5" t="s">
        <v>423</v>
      </c>
      <c r="B96" s="5" t="s">
        <v>424</v>
      </c>
      <c r="C96" s="5" t="s">
        <v>425</v>
      </c>
      <c r="D96" s="5" t="s">
        <v>241</v>
      </c>
      <c r="E96" s="5" t="s">
        <v>241</v>
      </c>
      <c r="F96" s="5" t="s">
        <v>241</v>
      </c>
      <c r="G96" s="5" t="s">
        <v>138</v>
      </c>
      <c r="H96" s="5" t="s">
        <v>187</v>
      </c>
      <c r="I96" s="7">
        <v>44816</v>
      </c>
      <c r="J96" s="5"/>
      <c r="L96" s="5" t="s">
        <v>2474</v>
      </c>
      <c r="N96" s="55"/>
    </row>
    <row r="97" spans="1:14" s="1" customFormat="1" hidden="1" x14ac:dyDescent="0.35">
      <c r="A97" s="5" t="s">
        <v>428</v>
      </c>
      <c r="B97" s="2" t="s">
        <v>429</v>
      </c>
      <c r="C97" s="2" t="s">
        <v>430</v>
      </c>
      <c r="D97" s="2" t="s">
        <v>20</v>
      </c>
      <c r="E97" s="2" t="s">
        <v>20</v>
      </c>
      <c r="F97" s="2" t="s">
        <v>20</v>
      </c>
      <c r="G97" s="2" t="s">
        <v>409</v>
      </c>
      <c r="H97" s="2" t="s">
        <v>431</v>
      </c>
      <c r="I97" s="24">
        <v>44837</v>
      </c>
      <c r="J97" s="2"/>
      <c r="K97" s="25"/>
      <c r="L97" s="2" t="s">
        <v>2473</v>
      </c>
      <c r="M97" s="25"/>
      <c r="N97" s="56"/>
    </row>
    <row r="98" spans="1:14" s="1" customFormat="1" hidden="1" x14ac:dyDescent="0.35">
      <c r="A98" s="5" t="s">
        <v>432</v>
      </c>
      <c r="B98" s="2" t="s">
        <v>433</v>
      </c>
      <c r="C98" s="2" t="s">
        <v>434</v>
      </c>
      <c r="D98" s="2" t="s">
        <v>29</v>
      </c>
      <c r="E98" s="26" t="s">
        <v>2476</v>
      </c>
      <c r="F98" s="2" t="s">
        <v>3606</v>
      </c>
      <c r="G98" s="2"/>
      <c r="H98" s="2" t="s">
        <v>119</v>
      </c>
      <c r="I98" s="24">
        <v>44837</v>
      </c>
      <c r="J98" s="2"/>
      <c r="K98" s="25"/>
      <c r="L98" s="2" t="s">
        <v>2473</v>
      </c>
      <c r="M98" s="25"/>
      <c r="N98" s="56"/>
    </row>
    <row r="99" spans="1:14" s="1" customFormat="1" hidden="1" x14ac:dyDescent="0.35">
      <c r="A99" s="5" t="s">
        <v>435</v>
      </c>
      <c r="B99" s="5" t="s">
        <v>436</v>
      </c>
      <c r="C99" s="5" t="s">
        <v>437</v>
      </c>
      <c r="D99" s="5" t="s">
        <v>29</v>
      </c>
      <c r="E99" s="5" t="s">
        <v>395</v>
      </c>
      <c r="F99" s="2" t="s">
        <v>395</v>
      </c>
      <c r="G99" s="6"/>
      <c r="H99" s="5" t="s">
        <v>438</v>
      </c>
      <c r="I99" s="7">
        <v>44844</v>
      </c>
      <c r="J99" s="6" t="s">
        <v>56</v>
      </c>
      <c r="K99" s="6" t="s">
        <v>33</v>
      </c>
      <c r="L99" s="25" t="s">
        <v>2475</v>
      </c>
      <c r="M99" s="25"/>
      <c r="N99" s="56"/>
    </row>
    <row r="100" spans="1:14" s="1" customFormat="1" hidden="1" x14ac:dyDescent="0.35">
      <c r="A100" s="5" t="s">
        <v>439</v>
      </c>
      <c r="B100" s="5" t="s">
        <v>440</v>
      </c>
      <c r="C100" s="5" t="s">
        <v>441</v>
      </c>
      <c r="D100" s="5" t="s">
        <v>29</v>
      </c>
      <c r="E100" s="5" t="s">
        <v>395</v>
      </c>
      <c r="F100" s="2" t="s">
        <v>395</v>
      </c>
      <c r="G100" s="6"/>
      <c r="H100" s="5" t="s">
        <v>194</v>
      </c>
      <c r="I100" s="7">
        <v>44915</v>
      </c>
      <c r="J100" s="6" t="s">
        <v>56</v>
      </c>
      <c r="K100" s="6" t="s">
        <v>33</v>
      </c>
      <c r="L100" s="25" t="s">
        <v>2475</v>
      </c>
      <c r="M100" s="25"/>
      <c r="N100" s="56"/>
    </row>
    <row r="101" spans="1:14" s="1" customFormat="1" hidden="1" x14ac:dyDescent="0.35">
      <c r="A101" s="5" t="s">
        <v>442</v>
      </c>
      <c r="B101" s="2" t="s">
        <v>443</v>
      </c>
      <c r="C101" s="2" t="s">
        <v>444</v>
      </c>
      <c r="D101" s="2" t="s">
        <v>20</v>
      </c>
      <c r="E101" s="2" t="s">
        <v>20</v>
      </c>
      <c r="F101" s="2" t="s">
        <v>20</v>
      </c>
      <c r="G101" s="2" t="s">
        <v>343</v>
      </c>
      <c r="H101" s="2" t="s">
        <v>445</v>
      </c>
      <c r="I101" s="24">
        <v>44928</v>
      </c>
      <c r="J101" s="2"/>
      <c r="K101" s="25"/>
      <c r="L101" s="2" t="s">
        <v>2473</v>
      </c>
      <c r="M101" s="25"/>
      <c r="N101" s="56"/>
    </row>
    <row r="102" spans="1:14" s="1" customFormat="1" hidden="1" x14ac:dyDescent="0.35">
      <c r="A102" s="5" t="s">
        <v>446</v>
      </c>
      <c r="B102" s="2" t="s">
        <v>447</v>
      </c>
      <c r="C102" s="2" t="s">
        <v>448</v>
      </c>
      <c r="D102" s="2" t="s">
        <v>20</v>
      </c>
      <c r="E102" s="2" t="s">
        <v>20</v>
      </c>
      <c r="F102" s="2" t="s">
        <v>20</v>
      </c>
      <c r="G102" s="2" t="s">
        <v>343</v>
      </c>
      <c r="H102" s="2" t="s">
        <v>449</v>
      </c>
      <c r="I102" s="24">
        <v>44928</v>
      </c>
      <c r="J102" s="2"/>
      <c r="K102" s="25"/>
      <c r="L102" s="2" t="s">
        <v>2473</v>
      </c>
      <c r="M102" s="25"/>
      <c r="N102" s="56"/>
    </row>
    <row r="103" spans="1:14" s="1" customFormat="1" hidden="1" x14ac:dyDescent="0.35">
      <c r="A103" s="5" t="s">
        <v>450</v>
      </c>
      <c r="B103" s="2" t="s">
        <v>451</v>
      </c>
      <c r="C103" s="2" t="s">
        <v>452</v>
      </c>
      <c r="D103" s="2" t="s">
        <v>20</v>
      </c>
      <c r="E103" s="2" t="s">
        <v>20</v>
      </c>
      <c r="F103" s="2" t="s">
        <v>20</v>
      </c>
      <c r="G103" s="2" t="s">
        <v>343</v>
      </c>
      <c r="H103" s="2" t="s">
        <v>449</v>
      </c>
      <c r="I103" s="24">
        <v>44928</v>
      </c>
      <c r="J103" s="2"/>
      <c r="K103" s="25"/>
      <c r="L103" s="2" t="s">
        <v>2473</v>
      </c>
      <c r="M103" s="25"/>
      <c r="N103" s="56"/>
    </row>
    <row r="104" spans="1:14" s="1" customFormat="1" hidden="1" x14ac:dyDescent="0.35">
      <c r="A104" s="5" t="s">
        <v>453</v>
      </c>
      <c r="B104" s="5" t="s">
        <v>454</v>
      </c>
      <c r="C104" s="5" t="s">
        <v>455</v>
      </c>
      <c r="D104" s="5" t="s">
        <v>29</v>
      </c>
      <c r="E104" s="5" t="s">
        <v>395</v>
      </c>
      <c r="F104" s="2" t="s">
        <v>395</v>
      </c>
      <c r="G104" s="6"/>
      <c r="H104" s="5" t="s">
        <v>187</v>
      </c>
      <c r="I104" s="7">
        <v>44956</v>
      </c>
      <c r="J104" s="6" t="s">
        <v>56</v>
      </c>
      <c r="K104" s="6" t="s">
        <v>33</v>
      </c>
      <c r="L104" s="25" t="s">
        <v>2475</v>
      </c>
      <c r="M104" s="25"/>
      <c r="N104" s="56"/>
    </row>
    <row r="105" spans="1:14" s="1" customFormat="1" hidden="1" x14ac:dyDescent="0.35">
      <c r="A105" s="5" t="s">
        <v>456</v>
      </c>
      <c r="B105" s="2" t="s">
        <v>457</v>
      </c>
      <c r="C105" s="2" t="s">
        <v>458</v>
      </c>
      <c r="D105" s="2" t="s">
        <v>37</v>
      </c>
      <c r="E105" s="26" t="s">
        <v>2476</v>
      </c>
      <c r="F105" s="2" t="s">
        <v>3606</v>
      </c>
      <c r="G105" s="2"/>
      <c r="H105" s="2" t="s">
        <v>230</v>
      </c>
      <c r="I105" s="24">
        <v>44991</v>
      </c>
      <c r="J105" s="2"/>
      <c r="K105" s="25"/>
      <c r="L105" s="2" t="s">
        <v>2473</v>
      </c>
      <c r="M105" s="25"/>
      <c r="N105" s="56"/>
    </row>
    <row r="106" spans="1:14" s="1" customFormat="1" hidden="1" x14ac:dyDescent="0.35">
      <c r="A106" s="5" t="s">
        <v>459</v>
      </c>
      <c r="B106" s="2" t="s">
        <v>460</v>
      </c>
      <c r="C106" s="2" t="s">
        <v>461</v>
      </c>
      <c r="D106" s="2" t="s">
        <v>50</v>
      </c>
      <c r="E106" s="26" t="s">
        <v>2476</v>
      </c>
      <c r="F106" s="2" t="s">
        <v>3605</v>
      </c>
      <c r="G106" s="2"/>
      <c r="H106" s="2" t="s">
        <v>230</v>
      </c>
      <c r="I106" s="24">
        <v>45005</v>
      </c>
      <c r="J106" s="2"/>
      <c r="K106" s="25"/>
      <c r="L106" s="2" t="s">
        <v>2473</v>
      </c>
      <c r="M106" s="25"/>
      <c r="N106" s="56"/>
    </row>
    <row r="107" spans="1:14" s="1" customFormat="1" hidden="1" x14ac:dyDescent="0.35">
      <c r="A107" s="5" t="s">
        <v>462</v>
      </c>
      <c r="B107" s="5" t="s">
        <v>463</v>
      </c>
      <c r="C107" s="5" t="s">
        <v>464</v>
      </c>
      <c r="D107" s="5" t="s">
        <v>29</v>
      </c>
      <c r="E107" s="5" t="s">
        <v>395</v>
      </c>
      <c r="F107" s="2" t="s">
        <v>395</v>
      </c>
      <c r="G107" s="6"/>
      <c r="H107" s="5" t="s">
        <v>194</v>
      </c>
      <c r="I107" s="7">
        <v>45026</v>
      </c>
      <c r="J107" s="6" t="s">
        <v>56</v>
      </c>
      <c r="K107" s="6" t="s">
        <v>33</v>
      </c>
      <c r="L107" s="25" t="s">
        <v>2475</v>
      </c>
      <c r="M107" s="25"/>
      <c r="N107" s="56"/>
    </row>
    <row r="108" spans="1:14" s="1" customFormat="1" hidden="1" x14ac:dyDescent="0.35">
      <c r="A108" s="5" t="s">
        <v>465</v>
      </c>
      <c r="B108" s="2" t="s">
        <v>466</v>
      </c>
      <c r="C108" s="2" t="s">
        <v>467</v>
      </c>
      <c r="D108" s="2" t="s">
        <v>37</v>
      </c>
      <c r="E108" s="26" t="s">
        <v>2476</v>
      </c>
      <c r="F108" s="2" t="s">
        <v>3606</v>
      </c>
      <c r="G108" s="2"/>
      <c r="H108" s="2" t="s">
        <v>230</v>
      </c>
      <c r="I108" s="24">
        <v>45026</v>
      </c>
      <c r="J108" s="2"/>
      <c r="K108" s="25"/>
      <c r="L108" s="2" t="s">
        <v>2473</v>
      </c>
      <c r="M108" s="25"/>
      <c r="N108" s="56"/>
    </row>
    <row r="109" spans="1:14" s="1" customFormat="1" hidden="1" x14ac:dyDescent="0.35">
      <c r="A109" s="5" t="s">
        <v>469</v>
      </c>
      <c r="B109" s="2" t="s">
        <v>470</v>
      </c>
      <c r="C109" s="2" t="s">
        <v>471</v>
      </c>
      <c r="D109" s="2" t="s">
        <v>20</v>
      </c>
      <c r="E109" s="2" t="s">
        <v>20</v>
      </c>
      <c r="F109" s="2" t="s">
        <v>20</v>
      </c>
      <c r="G109" s="2" t="s">
        <v>165</v>
      </c>
      <c r="H109" s="2" t="s">
        <v>175</v>
      </c>
      <c r="I109" s="24">
        <v>45033</v>
      </c>
      <c r="J109" s="2"/>
      <c r="K109" s="25"/>
      <c r="L109" s="2" t="s">
        <v>2473</v>
      </c>
      <c r="M109" s="25"/>
      <c r="N109" s="56"/>
    </row>
    <row r="110" spans="1:14" s="1" customFormat="1" hidden="1" x14ac:dyDescent="0.35">
      <c r="A110" s="5" t="s">
        <v>472</v>
      </c>
      <c r="B110" s="2" t="s">
        <v>473</v>
      </c>
      <c r="C110" s="2" t="s">
        <v>474</v>
      </c>
      <c r="D110" s="2" t="s">
        <v>20</v>
      </c>
      <c r="E110" s="2" t="s">
        <v>20</v>
      </c>
      <c r="F110" s="2" t="s">
        <v>20</v>
      </c>
      <c r="G110" s="2" t="s">
        <v>343</v>
      </c>
      <c r="H110" s="2" t="s">
        <v>475</v>
      </c>
      <c r="I110" s="24">
        <v>45054</v>
      </c>
      <c r="J110" s="2"/>
      <c r="K110" s="25"/>
      <c r="L110" s="2" t="s">
        <v>2473</v>
      </c>
      <c r="M110" s="25"/>
      <c r="N110" s="56"/>
    </row>
    <row r="111" spans="1:14" s="1" customFormat="1" hidden="1" x14ac:dyDescent="0.35">
      <c r="A111" s="5" t="s">
        <v>476</v>
      </c>
      <c r="B111" s="2" t="s">
        <v>477</v>
      </c>
      <c r="C111" s="2" t="s">
        <v>478</v>
      </c>
      <c r="D111" s="2" t="s">
        <v>20</v>
      </c>
      <c r="E111" s="2" t="s">
        <v>20</v>
      </c>
      <c r="F111" s="2" t="s">
        <v>20</v>
      </c>
      <c r="G111" s="2" t="s">
        <v>21</v>
      </c>
      <c r="H111" s="2" t="s">
        <v>479</v>
      </c>
      <c r="I111" s="24">
        <v>45042</v>
      </c>
      <c r="J111" s="2"/>
      <c r="K111" s="25"/>
      <c r="L111" s="2" t="s">
        <v>2473</v>
      </c>
      <c r="M111" s="25"/>
      <c r="N111" s="56"/>
    </row>
    <row r="112" spans="1:14" s="1" customFormat="1" hidden="1" x14ac:dyDescent="0.35">
      <c r="A112" s="5" t="s">
        <v>480</v>
      </c>
      <c r="B112" s="5" t="s">
        <v>481</v>
      </c>
      <c r="C112" s="5" t="s">
        <v>482</v>
      </c>
      <c r="D112" s="5" t="s">
        <v>29</v>
      </c>
      <c r="E112" s="5" t="s">
        <v>395</v>
      </c>
      <c r="F112" s="2" t="s">
        <v>395</v>
      </c>
      <c r="G112" s="6"/>
      <c r="H112" s="5" t="s">
        <v>483</v>
      </c>
      <c r="I112" s="7">
        <v>45054</v>
      </c>
      <c r="J112" s="6" t="s">
        <v>56</v>
      </c>
      <c r="K112" s="6" t="s">
        <v>33</v>
      </c>
      <c r="L112" s="25" t="s">
        <v>2475</v>
      </c>
      <c r="M112" s="25"/>
      <c r="N112" s="56"/>
    </row>
    <row r="113" spans="1:14" s="1" customFormat="1" hidden="1" x14ac:dyDescent="0.35">
      <c r="A113" s="5" t="s">
        <v>484</v>
      </c>
      <c r="B113" s="5" t="s">
        <v>485</v>
      </c>
      <c r="C113" s="5" t="s">
        <v>486</v>
      </c>
      <c r="D113" s="5" t="s">
        <v>29</v>
      </c>
      <c r="E113" s="5" t="s">
        <v>395</v>
      </c>
      <c r="F113" s="2" t="s">
        <v>395</v>
      </c>
      <c r="G113" s="6"/>
      <c r="H113" s="5" t="s">
        <v>187</v>
      </c>
      <c r="I113" s="7">
        <v>45070</v>
      </c>
      <c r="J113" s="6" t="s">
        <v>807</v>
      </c>
      <c r="K113" s="6" t="s">
        <v>33</v>
      </c>
      <c r="L113" s="25" t="s">
        <v>2475</v>
      </c>
      <c r="M113" s="25"/>
      <c r="N113" s="56"/>
    </row>
    <row r="114" spans="1:14" s="1" customFormat="1" hidden="1" x14ac:dyDescent="0.35">
      <c r="A114" s="5" t="s">
        <v>487</v>
      </c>
      <c r="B114" s="5" t="s">
        <v>488</v>
      </c>
      <c r="C114" s="5" t="s">
        <v>489</v>
      </c>
      <c r="D114" s="5" t="s">
        <v>29</v>
      </c>
      <c r="E114" s="5" t="s">
        <v>395</v>
      </c>
      <c r="F114" s="2" t="s">
        <v>395</v>
      </c>
      <c r="G114" s="6"/>
      <c r="H114" s="5" t="s">
        <v>187</v>
      </c>
      <c r="I114" s="7">
        <v>45082</v>
      </c>
      <c r="J114" s="6" t="s">
        <v>56</v>
      </c>
      <c r="K114" s="6" t="s">
        <v>33</v>
      </c>
      <c r="L114" s="25" t="s">
        <v>2475</v>
      </c>
      <c r="M114" s="25"/>
      <c r="N114" s="56"/>
    </row>
    <row r="115" spans="1:14" s="1" customFormat="1" hidden="1" x14ac:dyDescent="0.35">
      <c r="A115" s="5" t="s">
        <v>490</v>
      </c>
      <c r="B115" s="5" t="s">
        <v>491</v>
      </c>
      <c r="C115" s="5" t="s">
        <v>492</v>
      </c>
      <c r="D115" s="5" t="s">
        <v>29</v>
      </c>
      <c r="E115" s="5" t="s">
        <v>395</v>
      </c>
      <c r="F115" s="2" t="s">
        <v>395</v>
      </c>
      <c r="G115" s="6"/>
      <c r="H115" s="5" t="s">
        <v>187</v>
      </c>
      <c r="I115" s="7">
        <v>45085</v>
      </c>
      <c r="J115" s="6" t="s">
        <v>56</v>
      </c>
      <c r="K115" s="6" t="s">
        <v>33</v>
      </c>
      <c r="L115" s="25" t="s">
        <v>2475</v>
      </c>
      <c r="M115" s="25"/>
      <c r="N115" s="56"/>
    </row>
    <row r="116" spans="1:14" s="1" customFormat="1" hidden="1" x14ac:dyDescent="0.35">
      <c r="A116" s="5" t="s">
        <v>493</v>
      </c>
      <c r="B116" s="5" t="s">
        <v>494</v>
      </c>
      <c r="C116" s="5" t="s">
        <v>495</v>
      </c>
      <c r="D116" s="5" t="s">
        <v>29</v>
      </c>
      <c r="E116" s="5" t="s">
        <v>395</v>
      </c>
      <c r="F116" s="2" t="s">
        <v>395</v>
      </c>
      <c r="G116" s="6"/>
      <c r="H116" s="5" t="s">
        <v>187</v>
      </c>
      <c r="I116" s="7">
        <v>45085</v>
      </c>
      <c r="J116" s="6" t="s">
        <v>56</v>
      </c>
      <c r="K116" s="6" t="s">
        <v>33</v>
      </c>
      <c r="L116" s="25" t="s">
        <v>2475</v>
      </c>
      <c r="M116" s="25"/>
      <c r="N116" s="56"/>
    </row>
    <row r="117" spans="1:14" s="1" customFormat="1" hidden="1" x14ac:dyDescent="0.35">
      <c r="A117" s="5" t="s">
        <v>496</v>
      </c>
      <c r="B117" s="2" t="s">
        <v>497</v>
      </c>
      <c r="C117" s="2" t="s">
        <v>498</v>
      </c>
      <c r="D117" s="2" t="s">
        <v>20</v>
      </c>
      <c r="E117" s="2" t="s">
        <v>20</v>
      </c>
      <c r="F117" s="2" t="s">
        <v>20</v>
      </c>
      <c r="G117" s="2" t="s">
        <v>84</v>
      </c>
      <c r="H117" s="2" t="s">
        <v>499</v>
      </c>
      <c r="I117" s="24">
        <v>45152</v>
      </c>
      <c r="J117" s="2"/>
      <c r="K117" s="25"/>
      <c r="L117" s="2" t="s">
        <v>2473</v>
      </c>
      <c r="M117" s="25"/>
      <c r="N117" s="56"/>
    </row>
    <row r="118" spans="1:14" s="1" customFormat="1" hidden="1" x14ac:dyDescent="0.35">
      <c r="A118" s="5" t="s">
        <v>500</v>
      </c>
      <c r="B118" s="2" t="s">
        <v>501</v>
      </c>
      <c r="C118" s="2" t="s">
        <v>502</v>
      </c>
      <c r="D118" s="2" t="s">
        <v>50</v>
      </c>
      <c r="E118" s="26" t="s">
        <v>2476</v>
      </c>
      <c r="F118" s="2" t="s">
        <v>3605</v>
      </c>
      <c r="G118" s="2"/>
      <c r="H118" s="2" t="s">
        <v>230</v>
      </c>
      <c r="I118" s="24">
        <v>45159</v>
      </c>
      <c r="J118" s="2"/>
      <c r="K118" s="25"/>
      <c r="L118" s="2" t="s">
        <v>2473</v>
      </c>
      <c r="M118" s="25"/>
      <c r="N118" s="56"/>
    </row>
    <row r="119" spans="1:14" s="1" customFormat="1" hidden="1" x14ac:dyDescent="0.35">
      <c r="A119" s="5" t="s">
        <v>503</v>
      </c>
      <c r="B119" s="5" t="s">
        <v>504</v>
      </c>
      <c r="C119" s="5" t="s">
        <v>505</v>
      </c>
      <c r="D119" s="5" t="s">
        <v>29</v>
      </c>
      <c r="E119" s="5" t="s">
        <v>395</v>
      </c>
      <c r="F119" s="2" t="s">
        <v>395</v>
      </c>
      <c r="G119" s="6"/>
      <c r="H119" s="5" t="s">
        <v>506</v>
      </c>
      <c r="I119" s="7">
        <v>45163</v>
      </c>
      <c r="J119" s="6" t="s">
        <v>56</v>
      </c>
      <c r="K119" s="6" t="s">
        <v>33</v>
      </c>
      <c r="L119" s="25" t="s">
        <v>2475</v>
      </c>
      <c r="M119" s="25"/>
      <c r="N119" s="56"/>
    </row>
    <row r="120" spans="1:14" s="1" customFormat="1" hidden="1" x14ac:dyDescent="0.35">
      <c r="A120" s="5" t="s">
        <v>507</v>
      </c>
      <c r="B120" s="2" t="s">
        <v>508</v>
      </c>
      <c r="C120" s="2" t="s">
        <v>509</v>
      </c>
      <c r="D120" s="2" t="s">
        <v>20</v>
      </c>
      <c r="E120" s="2" t="s">
        <v>20</v>
      </c>
      <c r="F120" s="2" t="s">
        <v>20</v>
      </c>
      <c r="G120" s="2" t="s">
        <v>84</v>
      </c>
      <c r="H120" s="2" t="s">
        <v>510</v>
      </c>
      <c r="I120" s="24">
        <v>45173</v>
      </c>
      <c r="J120" s="2"/>
      <c r="K120" s="25"/>
      <c r="L120" s="2" t="s">
        <v>2473</v>
      </c>
      <c r="M120" s="25"/>
      <c r="N120" s="56"/>
    </row>
    <row r="121" spans="1:14" s="1" customFormat="1" hidden="1" x14ac:dyDescent="0.35">
      <c r="A121" s="5" t="s">
        <v>511</v>
      </c>
      <c r="B121" s="2" t="s">
        <v>512</v>
      </c>
      <c r="C121" s="2" t="s">
        <v>513</v>
      </c>
      <c r="D121" s="2" t="s">
        <v>20</v>
      </c>
      <c r="E121" s="2" t="s">
        <v>20</v>
      </c>
      <c r="F121" s="2" t="s">
        <v>20</v>
      </c>
      <c r="G121" s="2" t="s">
        <v>165</v>
      </c>
      <c r="H121" s="2" t="s">
        <v>175</v>
      </c>
      <c r="I121" s="24">
        <v>45173</v>
      </c>
      <c r="J121" s="2"/>
      <c r="K121" s="25"/>
      <c r="L121" s="2" t="s">
        <v>2473</v>
      </c>
      <c r="M121" s="25"/>
      <c r="N121" s="56"/>
    </row>
    <row r="122" spans="1:14" s="1" customFormat="1" hidden="1" x14ac:dyDescent="0.35">
      <c r="A122" s="5" t="s">
        <v>514</v>
      </c>
      <c r="B122" s="2" t="s">
        <v>515</v>
      </c>
      <c r="C122" s="2" t="s">
        <v>516</v>
      </c>
      <c r="D122" s="2" t="s">
        <v>20</v>
      </c>
      <c r="E122" s="2" t="s">
        <v>20</v>
      </c>
      <c r="F122" s="2" t="s">
        <v>20</v>
      </c>
      <c r="G122" s="2" t="s">
        <v>343</v>
      </c>
      <c r="H122" s="2" t="s">
        <v>517</v>
      </c>
      <c r="I122" s="24">
        <v>45173</v>
      </c>
      <c r="J122" s="2"/>
      <c r="K122" s="25"/>
      <c r="L122" s="2" t="s">
        <v>2473</v>
      </c>
      <c r="M122" s="25"/>
      <c r="N122" s="56"/>
    </row>
    <row r="123" spans="1:14" s="1" customFormat="1" hidden="1" x14ac:dyDescent="0.35">
      <c r="A123" s="5" t="s">
        <v>518</v>
      </c>
      <c r="B123" s="2" t="s">
        <v>519</v>
      </c>
      <c r="C123" s="2" t="s">
        <v>520</v>
      </c>
      <c r="D123" s="2" t="s">
        <v>50</v>
      </c>
      <c r="E123" s="26" t="s">
        <v>2476</v>
      </c>
      <c r="F123" s="2" t="s">
        <v>3605</v>
      </c>
      <c r="G123" s="2"/>
      <c r="H123" s="2" t="s">
        <v>230</v>
      </c>
      <c r="I123" s="24">
        <v>45173</v>
      </c>
      <c r="J123" s="2"/>
      <c r="K123" s="25"/>
      <c r="L123" s="2" t="s">
        <v>2473</v>
      </c>
      <c r="M123" s="25"/>
      <c r="N123" s="56"/>
    </row>
    <row r="124" spans="1:14" s="1" customFormat="1" hidden="1" x14ac:dyDescent="0.35">
      <c r="A124" s="5" t="s">
        <v>521</v>
      </c>
      <c r="B124" s="5" t="s">
        <v>522</v>
      </c>
      <c r="C124" s="5" t="s">
        <v>523</v>
      </c>
      <c r="D124" s="5" t="s">
        <v>29</v>
      </c>
      <c r="E124" s="5" t="s">
        <v>395</v>
      </c>
      <c r="F124" s="2" t="s">
        <v>395</v>
      </c>
      <c r="G124" s="6"/>
      <c r="H124" s="5" t="s">
        <v>187</v>
      </c>
      <c r="I124" s="7">
        <v>45180</v>
      </c>
      <c r="J124" s="6" t="s">
        <v>56</v>
      </c>
      <c r="K124" s="6" t="s">
        <v>33</v>
      </c>
      <c r="L124" s="25" t="s">
        <v>2475</v>
      </c>
      <c r="M124" s="25"/>
      <c r="N124" s="56"/>
    </row>
    <row r="125" spans="1:14" s="1" customFormat="1" hidden="1" x14ac:dyDescent="0.35">
      <c r="A125" s="5" t="s">
        <v>524</v>
      </c>
      <c r="B125" s="2" t="s">
        <v>525</v>
      </c>
      <c r="C125" s="2" t="s">
        <v>526</v>
      </c>
      <c r="D125" s="2" t="s">
        <v>50</v>
      </c>
      <c r="E125" s="26" t="s">
        <v>2476</v>
      </c>
      <c r="F125" s="2" t="s">
        <v>3605</v>
      </c>
      <c r="G125" s="2"/>
      <c r="H125" s="2" t="s">
        <v>230</v>
      </c>
      <c r="I125" s="24">
        <v>45187</v>
      </c>
      <c r="J125" s="2"/>
      <c r="K125" s="25"/>
      <c r="L125" s="2" t="s">
        <v>2473</v>
      </c>
      <c r="M125" s="25"/>
      <c r="N125" s="56"/>
    </row>
    <row r="126" spans="1:14" s="1" customFormat="1" hidden="1" x14ac:dyDescent="0.35">
      <c r="A126" s="5" t="s">
        <v>529</v>
      </c>
      <c r="B126" s="2" t="s">
        <v>530</v>
      </c>
      <c r="C126" s="2" t="s">
        <v>531</v>
      </c>
      <c r="D126" s="2" t="s">
        <v>20</v>
      </c>
      <c r="E126" s="2" t="s">
        <v>20</v>
      </c>
      <c r="F126" s="2" t="s">
        <v>20</v>
      </c>
      <c r="G126" s="2" t="s">
        <v>43</v>
      </c>
      <c r="H126" s="2" t="s">
        <v>532</v>
      </c>
      <c r="I126" s="24">
        <v>45202</v>
      </c>
      <c r="J126" s="2"/>
      <c r="K126" s="25"/>
      <c r="L126" s="2" t="s">
        <v>2473</v>
      </c>
      <c r="M126" s="25"/>
      <c r="N126" s="56"/>
    </row>
    <row r="127" spans="1:14" s="1" customFormat="1" hidden="1" x14ac:dyDescent="0.35">
      <c r="A127" s="5" t="s">
        <v>533</v>
      </c>
      <c r="B127" s="5" t="s">
        <v>534</v>
      </c>
      <c r="C127" s="5" t="s">
        <v>535</v>
      </c>
      <c r="D127" s="5" t="s">
        <v>29</v>
      </c>
      <c r="E127" s="5" t="s">
        <v>395</v>
      </c>
      <c r="F127" s="2" t="s">
        <v>395</v>
      </c>
      <c r="G127" s="6"/>
      <c r="H127" s="5" t="s">
        <v>506</v>
      </c>
      <c r="I127" s="7">
        <v>45202</v>
      </c>
      <c r="J127" s="6" t="s">
        <v>56</v>
      </c>
      <c r="K127" s="6" t="s">
        <v>33</v>
      </c>
      <c r="L127" s="25" t="s">
        <v>2475</v>
      </c>
      <c r="M127" s="25"/>
      <c r="N127" s="56"/>
    </row>
    <row r="128" spans="1:14" s="1" customFormat="1" hidden="1" x14ac:dyDescent="0.35">
      <c r="A128" s="5" t="s">
        <v>259</v>
      </c>
      <c r="B128" s="2" t="s">
        <v>258</v>
      </c>
      <c r="C128" s="2" t="s">
        <v>540</v>
      </c>
      <c r="D128" s="2" t="s">
        <v>50</v>
      </c>
      <c r="E128" s="26" t="s">
        <v>2476</v>
      </c>
      <c r="F128" s="2" t="s">
        <v>3605</v>
      </c>
      <c r="G128" s="2"/>
      <c r="H128" s="2" t="s">
        <v>67</v>
      </c>
      <c r="I128" s="24">
        <v>45208</v>
      </c>
      <c r="J128" s="2"/>
      <c r="K128" s="25"/>
      <c r="L128" s="2" t="s">
        <v>3634</v>
      </c>
      <c r="M128" s="25"/>
      <c r="N128" s="56"/>
    </row>
    <row r="129" spans="1:14" s="1" customFormat="1" hidden="1" x14ac:dyDescent="0.35">
      <c r="A129" s="5" t="s">
        <v>541</v>
      </c>
      <c r="B129" s="2" t="s">
        <v>542</v>
      </c>
      <c r="C129" s="2" t="s">
        <v>543</v>
      </c>
      <c r="D129" s="2" t="s">
        <v>37</v>
      </c>
      <c r="E129" s="26" t="s">
        <v>2476</v>
      </c>
      <c r="F129" s="2" t="s">
        <v>3606</v>
      </c>
      <c r="G129" s="2"/>
      <c r="H129" s="2" t="s">
        <v>370</v>
      </c>
      <c r="I129" s="24">
        <v>45208</v>
      </c>
      <c r="J129" s="2"/>
      <c r="K129" s="25"/>
      <c r="L129" s="2" t="s">
        <v>2473</v>
      </c>
      <c r="M129" s="25"/>
      <c r="N129" s="56"/>
    </row>
    <row r="130" spans="1:14" s="1" customFormat="1" hidden="1" x14ac:dyDescent="0.35">
      <c r="A130" s="5" t="s">
        <v>544</v>
      </c>
      <c r="B130" s="5" t="s">
        <v>545</v>
      </c>
      <c r="C130" s="5" t="s">
        <v>546</v>
      </c>
      <c r="D130" s="5" t="s">
        <v>29</v>
      </c>
      <c r="E130" s="5" t="s">
        <v>395</v>
      </c>
      <c r="F130" s="2" t="s">
        <v>395</v>
      </c>
      <c r="G130" s="6"/>
      <c r="H130" s="5" t="s">
        <v>187</v>
      </c>
      <c r="I130" s="7">
        <v>45208</v>
      </c>
      <c r="J130" s="6" t="s">
        <v>56</v>
      </c>
      <c r="K130" s="6" t="s">
        <v>33</v>
      </c>
      <c r="L130" s="25" t="s">
        <v>2475</v>
      </c>
      <c r="M130" s="25"/>
      <c r="N130" s="56"/>
    </row>
    <row r="131" spans="1:14" s="1" customFormat="1" hidden="1" x14ac:dyDescent="0.35">
      <c r="A131" s="5" t="s">
        <v>547</v>
      </c>
      <c r="B131" s="5" t="s">
        <v>548</v>
      </c>
      <c r="C131" s="5" t="s">
        <v>549</v>
      </c>
      <c r="D131" s="5" t="s">
        <v>29</v>
      </c>
      <c r="E131" s="5" t="s">
        <v>395</v>
      </c>
      <c r="F131" s="2" t="s">
        <v>395</v>
      </c>
      <c r="G131" s="6"/>
      <c r="H131" s="5" t="s">
        <v>187</v>
      </c>
      <c r="I131" s="7">
        <v>45222</v>
      </c>
      <c r="J131" s="6" t="s">
        <v>807</v>
      </c>
      <c r="K131" s="6" t="s">
        <v>33</v>
      </c>
      <c r="L131" s="25" t="s">
        <v>2475</v>
      </c>
      <c r="M131" s="25"/>
      <c r="N131" s="56"/>
    </row>
    <row r="132" spans="1:14" s="1" customFormat="1" hidden="1" x14ac:dyDescent="0.35">
      <c r="A132" s="5" t="s">
        <v>234</v>
      </c>
      <c r="B132" s="2" t="s">
        <v>174</v>
      </c>
      <c r="C132" s="2" t="s">
        <v>550</v>
      </c>
      <c r="D132" s="2" t="s">
        <v>37</v>
      </c>
      <c r="E132" s="26" t="s">
        <v>2476</v>
      </c>
      <c r="F132" s="2" t="s">
        <v>3606</v>
      </c>
      <c r="G132" s="2"/>
      <c r="H132" s="2" t="s">
        <v>91</v>
      </c>
      <c r="I132" s="24">
        <v>45250</v>
      </c>
      <c r="J132" s="2"/>
      <c r="K132" s="25"/>
      <c r="L132" s="2" t="s">
        <v>2473</v>
      </c>
      <c r="M132" s="25"/>
      <c r="N132" s="56"/>
    </row>
    <row r="133" spans="1:14" s="1" customFormat="1" hidden="1" x14ac:dyDescent="0.35">
      <c r="A133" s="5" t="s">
        <v>551</v>
      </c>
      <c r="B133" s="2" t="s">
        <v>552</v>
      </c>
      <c r="C133" s="2" t="s">
        <v>553</v>
      </c>
      <c r="D133" s="2" t="s">
        <v>50</v>
      </c>
      <c r="E133" s="26" t="s">
        <v>2476</v>
      </c>
      <c r="F133" s="2" t="s">
        <v>3605</v>
      </c>
      <c r="G133" s="2"/>
      <c r="H133" s="2" t="s">
        <v>230</v>
      </c>
      <c r="I133" s="24">
        <v>45250</v>
      </c>
      <c r="J133" s="2"/>
      <c r="K133" s="25"/>
      <c r="L133" s="2" t="s">
        <v>2473</v>
      </c>
      <c r="M133" s="25"/>
      <c r="N133" s="56"/>
    </row>
    <row r="134" spans="1:14" s="1" customFormat="1" hidden="1" x14ac:dyDescent="0.35">
      <c r="A134" s="5" t="s">
        <v>554</v>
      </c>
      <c r="B134" s="2" t="s">
        <v>555</v>
      </c>
      <c r="C134" s="2" t="s">
        <v>556</v>
      </c>
      <c r="D134" s="2" t="s">
        <v>50</v>
      </c>
      <c r="E134" s="26" t="s">
        <v>2476</v>
      </c>
      <c r="F134" s="2" t="s">
        <v>3605</v>
      </c>
      <c r="G134" s="2"/>
      <c r="H134" s="2" t="s">
        <v>230</v>
      </c>
      <c r="I134" s="24">
        <v>45250</v>
      </c>
      <c r="J134" s="2"/>
      <c r="K134" s="25"/>
      <c r="L134" s="2" t="s">
        <v>2473</v>
      </c>
      <c r="M134" s="25"/>
      <c r="N134" s="56"/>
    </row>
    <row r="135" spans="1:14" s="1" customFormat="1" hidden="1" x14ac:dyDescent="0.35">
      <c r="A135" s="5" t="s">
        <v>557</v>
      </c>
      <c r="B135" s="2" t="s">
        <v>558</v>
      </c>
      <c r="C135" s="2" t="s">
        <v>559</v>
      </c>
      <c r="D135" s="2" t="s">
        <v>50</v>
      </c>
      <c r="E135" s="26" t="s">
        <v>2476</v>
      </c>
      <c r="F135" s="2" t="s">
        <v>3605</v>
      </c>
      <c r="G135" s="2"/>
      <c r="H135" s="2" t="s">
        <v>370</v>
      </c>
      <c r="I135" s="24">
        <v>45257</v>
      </c>
      <c r="J135" s="2"/>
      <c r="K135" s="25"/>
      <c r="L135" s="2" t="s">
        <v>2473</v>
      </c>
      <c r="M135" s="25"/>
      <c r="N135" s="56"/>
    </row>
    <row r="136" spans="1:14" s="1" customFormat="1" hidden="1" x14ac:dyDescent="0.35">
      <c r="A136" s="5" t="s">
        <v>560</v>
      </c>
      <c r="B136" s="5" t="s">
        <v>561</v>
      </c>
      <c r="C136" s="5" t="s">
        <v>562</v>
      </c>
      <c r="D136" s="5" t="s">
        <v>29</v>
      </c>
      <c r="E136" s="5" t="s">
        <v>395</v>
      </c>
      <c r="F136" s="2" t="s">
        <v>395</v>
      </c>
      <c r="G136" s="6"/>
      <c r="H136" s="5" t="s">
        <v>563</v>
      </c>
      <c r="I136" s="7">
        <v>45261</v>
      </c>
      <c r="J136" s="6" t="s">
        <v>2779</v>
      </c>
      <c r="K136" s="6" t="s">
        <v>33</v>
      </c>
      <c r="L136" s="25" t="s">
        <v>2473</v>
      </c>
      <c r="M136" s="25"/>
      <c r="N136" s="56"/>
    </row>
    <row r="137" spans="1:14" s="1" customFormat="1" hidden="1" x14ac:dyDescent="0.35">
      <c r="A137" s="5" t="s">
        <v>566</v>
      </c>
      <c r="B137" s="2" t="s">
        <v>567</v>
      </c>
      <c r="C137" s="2" t="s">
        <v>568</v>
      </c>
      <c r="D137" s="2" t="s">
        <v>50</v>
      </c>
      <c r="E137" s="26" t="s">
        <v>2476</v>
      </c>
      <c r="F137" s="2" t="s">
        <v>3605</v>
      </c>
      <c r="G137" s="2"/>
      <c r="H137" s="2" t="s">
        <v>230</v>
      </c>
      <c r="I137" s="24">
        <v>45271</v>
      </c>
      <c r="J137" s="2"/>
      <c r="K137" s="25"/>
      <c r="L137" s="2" t="s">
        <v>2473</v>
      </c>
      <c r="M137" s="25"/>
      <c r="N137" s="56"/>
    </row>
    <row r="138" spans="1:14" s="1" customFormat="1" hidden="1" x14ac:dyDescent="0.35">
      <c r="A138" s="5" t="s">
        <v>569</v>
      </c>
      <c r="B138" s="2" t="s">
        <v>570</v>
      </c>
      <c r="C138" s="2" t="s">
        <v>571</v>
      </c>
      <c r="D138" s="2" t="s">
        <v>20</v>
      </c>
      <c r="E138" s="2" t="s">
        <v>20</v>
      </c>
      <c r="F138" s="2" t="s">
        <v>20</v>
      </c>
      <c r="G138" s="2" t="s">
        <v>572</v>
      </c>
      <c r="H138" s="2" t="s">
        <v>573</v>
      </c>
      <c r="I138" s="24">
        <v>45271</v>
      </c>
      <c r="J138" s="2"/>
      <c r="K138" s="25"/>
      <c r="L138" s="2" t="s">
        <v>2473</v>
      </c>
      <c r="M138" s="25"/>
      <c r="N138" s="56"/>
    </row>
    <row r="139" spans="1:14" s="1" customFormat="1" hidden="1" x14ac:dyDescent="0.35">
      <c r="A139" s="5" t="s">
        <v>574</v>
      </c>
      <c r="B139" s="5" t="s">
        <v>575</v>
      </c>
      <c r="C139" s="5" t="s">
        <v>576</v>
      </c>
      <c r="D139" s="5" t="s">
        <v>29</v>
      </c>
      <c r="E139" s="5" t="s">
        <v>395</v>
      </c>
      <c r="F139" s="2" t="s">
        <v>395</v>
      </c>
      <c r="G139" s="6"/>
      <c r="H139" s="5" t="s">
        <v>187</v>
      </c>
      <c r="I139" s="7">
        <v>45271</v>
      </c>
      <c r="J139" s="6" t="s">
        <v>56</v>
      </c>
      <c r="K139" s="6" t="s">
        <v>33</v>
      </c>
      <c r="L139" s="25" t="s">
        <v>2475</v>
      </c>
      <c r="M139" s="25"/>
      <c r="N139" s="56"/>
    </row>
    <row r="140" spans="1:14" s="1" customFormat="1" hidden="1" x14ac:dyDescent="0.35">
      <c r="A140" s="5" t="s">
        <v>577</v>
      </c>
      <c r="B140" s="5" t="s">
        <v>578</v>
      </c>
      <c r="C140" s="5" t="s">
        <v>579</v>
      </c>
      <c r="D140" s="5" t="s">
        <v>29</v>
      </c>
      <c r="E140" s="5" t="s">
        <v>395</v>
      </c>
      <c r="F140" s="2" t="s">
        <v>395</v>
      </c>
      <c r="G140" s="6"/>
      <c r="H140" s="5" t="s">
        <v>187</v>
      </c>
      <c r="I140" s="7">
        <v>45282</v>
      </c>
      <c r="J140" s="6" t="s">
        <v>56</v>
      </c>
      <c r="K140" s="6" t="s">
        <v>33</v>
      </c>
      <c r="L140" s="25" t="s">
        <v>2475</v>
      </c>
      <c r="M140" s="25"/>
      <c r="N140" s="56"/>
    </row>
    <row r="141" spans="1:14" s="6" customFormat="1" hidden="1" x14ac:dyDescent="0.35">
      <c r="A141" s="5" t="s">
        <v>580</v>
      </c>
      <c r="B141" s="5" t="s">
        <v>581</v>
      </c>
      <c r="C141" s="5" t="s">
        <v>582</v>
      </c>
      <c r="D141" s="5" t="s">
        <v>241</v>
      </c>
      <c r="E141" s="5" t="s">
        <v>241</v>
      </c>
      <c r="F141" s="5" t="s">
        <v>241</v>
      </c>
      <c r="G141" s="5" t="s">
        <v>39</v>
      </c>
      <c r="H141" s="5" t="s">
        <v>583</v>
      </c>
      <c r="I141" s="7">
        <v>45295</v>
      </c>
      <c r="J141" s="5"/>
      <c r="L141" s="5" t="s">
        <v>2474</v>
      </c>
      <c r="N141" s="55"/>
    </row>
    <row r="142" spans="1:14" s="1" customFormat="1" hidden="1" x14ac:dyDescent="0.35">
      <c r="A142" s="5" t="s">
        <v>584</v>
      </c>
      <c r="B142" s="2" t="s">
        <v>585</v>
      </c>
      <c r="C142" s="2" t="s">
        <v>586</v>
      </c>
      <c r="D142" s="2" t="s">
        <v>20</v>
      </c>
      <c r="E142" s="2" t="s">
        <v>20</v>
      </c>
      <c r="F142" s="2" t="s">
        <v>20</v>
      </c>
      <c r="G142" s="2" t="s">
        <v>165</v>
      </c>
      <c r="H142" s="2" t="s">
        <v>587</v>
      </c>
      <c r="I142" s="24">
        <v>45327</v>
      </c>
      <c r="J142" s="2"/>
      <c r="K142" s="25"/>
      <c r="L142" s="2" t="s">
        <v>2473</v>
      </c>
      <c r="M142" s="25"/>
      <c r="N142" s="56"/>
    </row>
    <row r="143" spans="1:14" s="1" customFormat="1" hidden="1" x14ac:dyDescent="0.35">
      <c r="A143" s="5" t="s">
        <v>588</v>
      </c>
      <c r="B143" s="5" t="s">
        <v>589</v>
      </c>
      <c r="C143" s="5" t="s">
        <v>590</v>
      </c>
      <c r="D143" s="5" t="s">
        <v>29</v>
      </c>
      <c r="E143" s="5" t="s">
        <v>395</v>
      </c>
      <c r="F143" s="2" t="s">
        <v>395</v>
      </c>
      <c r="G143" s="6"/>
      <c r="H143" s="5" t="s">
        <v>591</v>
      </c>
      <c r="I143" s="7">
        <v>45322</v>
      </c>
      <c r="J143" s="6" t="s">
        <v>56</v>
      </c>
      <c r="K143" s="6" t="s">
        <v>33</v>
      </c>
      <c r="L143" s="25" t="s">
        <v>2475</v>
      </c>
      <c r="M143" s="25"/>
      <c r="N143" s="56"/>
    </row>
    <row r="144" spans="1:14" s="1" customFormat="1" hidden="1" x14ac:dyDescent="0.35">
      <c r="A144" s="5" t="s">
        <v>565</v>
      </c>
      <c r="B144" s="5" t="s">
        <v>564</v>
      </c>
      <c r="C144" s="5" t="s">
        <v>592</v>
      </c>
      <c r="D144" s="5" t="s">
        <v>29</v>
      </c>
      <c r="E144" s="5" t="s">
        <v>395</v>
      </c>
      <c r="F144" s="2" t="s">
        <v>395</v>
      </c>
      <c r="G144" s="6"/>
      <c r="H144" s="5" t="s">
        <v>194</v>
      </c>
      <c r="I144" s="7">
        <v>45364</v>
      </c>
      <c r="J144" s="6" t="s">
        <v>2779</v>
      </c>
      <c r="K144" s="6" t="s">
        <v>33</v>
      </c>
      <c r="L144" s="25" t="s">
        <v>2475</v>
      </c>
      <c r="M144" s="25"/>
      <c r="N144" s="56"/>
    </row>
    <row r="145" spans="1:14" s="1" customFormat="1" hidden="1" x14ac:dyDescent="0.35">
      <c r="A145" s="5" t="s">
        <v>593</v>
      </c>
      <c r="B145" s="2" t="s">
        <v>594</v>
      </c>
      <c r="C145" s="2" t="s">
        <v>595</v>
      </c>
      <c r="D145" s="2" t="s">
        <v>20</v>
      </c>
      <c r="E145" s="2" t="s">
        <v>20</v>
      </c>
      <c r="F145" s="2" t="s">
        <v>20</v>
      </c>
      <c r="G145" s="2" t="s">
        <v>409</v>
      </c>
      <c r="H145" s="2" t="s">
        <v>596</v>
      </c>
      <c r="I145" s="24">
        <v>45348</v>
      </c>
      <c r="J145" s="2"/>
      <c r="K145" s="25"/>
      <c r="L145" s="2" t="s">
        <v>2473</v>
      </c>
      <c r="M145" s="25"/>
      <c r="N145" s="56"/>
    </row>
    <row r="146" spans="1:14" s="1" customFormat="1" hidden="1" x14ac:dyDescent="0.35">
      <c r="A146" s="5" t="s">
        <v>597</v>
      </c>
      <c r="B146" s="2" t="s">
        <v>598</v>
      </c>
      <c r="C146" s="2" t="s">
        <v>599</v>
      </c>
      <c r="D146" s="2" t="s">
        <v>29</v>
      </c>
      <c r="E146" s="26" t="s">
        <v>2476</v>
      </c>
      <c r="F146" s="2" t="s">
        <v>3606</v>
      </c>
      <c r="G146" s="2"/>
      <c r="H146" s="2" t="s">
        <v>230</v>
      </c>
      <c r="I146" s="24">
        <v>45362</v>
      </c>
      <c r="J146" s="2"/>
      <c r="K146" s="25"/>
      <c r="L146" s="2" t="s">
        <v>2473</v>
      </c>
      <c r="M146" s="25"/>
      <c r="N146" s="56"/>
    </row>
    <row r="147" spans="1:14" s="1" customFormat="1" hidden="1" x14ac:dyDescent="0.35">
      <c r="A147" s="5" t="s">
        <v>600</v>
      </c>
      <c r="B147" s="2" t="s">
        <v>601</v>
      </c>
      <c r="C147" s="2" t="s">
        <v>602</v>
      </c>
      <c r="D147" s="2" t="s">
        <v>29</v>
      </c>
      <c r="E147" s="26" t="s">
        <v>2476</v>
      </c>
      <c r="F147" s="2" t="s">
        <v>3606</v>
      </c>
      <c r="G147" s="2"/>
      <c r="H147" s="2" t="s">
        <v>230</v>
      </c>
      <c r="I147" s="24">
        <v>45362</v>
      </c>
      <c r="J147" s="2"/>
      <c r="K147" s="25"/>
      <c r="L147" s="2" t="s">
        <v>2473</v>
      </c>
      <c r="M147" s="25"/>
      <c r="N147" s="56"/>
    </row>
    <row r="148" spans="1:14" s="1" customFormat="1" hidden="1" x14ac:dyDescent="0.35">
      <c r="A148" s="5" t="s">
        <v>603</v>
      </c>
      <c r="B148" s="5" t="s">
        <v>604</v>
      </c>
      <c r="C148" s="5" t="s">
        <v>605</v>
      </c>
      <c r="D148" s="5" t="s">
        <v>29</v>
      </c>
      <c r="E148" s="5" t="s">
        <v>395</v>
      </c>
      <c r="F148" s="2" t="s">
        <v>395</v>
      </c>
      <c r="G148" s="6"/>
      <c r="H148" s="5" t="s">
        <v>606</v>
      </c>
      <c r="I148" s="7">
        <v>45365</v>
      </c>
      <c r="J148" s="6" t="s">
        <v>2779</v>
      </c>
      <c r="K148" s="6" t="s">
        <v>33</v>
      </c>
      <c r="L148" s="25" t="s">
        <v>2475</v>
      </c>
      <c r="M148" s="25"/>
      <c r="N148" s="56"/>
    </row>
    <row r="149" spans="1:14" s="1" customFormat="1" hidden="1" x14ac:dyDescent="0.35">
      <c r="A149" s="5" t="s">
        <v>152</v>
      </c>
      <c r="B149" s="2" t="s">
        <v>151</v>
      </c>
      <c r="C149" s="2" t="s">
        <v>607</v>
      </c>
      <c r="D149" s="2" t="s">
        <v>20</v>
      </c>
      <c r="E149" s="2" t="s">
        <v>20</v>
      </c>
      <c r="F149" s="2" t="s">
        <v>20</v>
      </c>
      <c r="G149" s="2" t="s">
        <v>149</v>
      </c>
      <c r="H149" s="2" t="s">
        <v>608</v>
      </c>
      <c r="I149" s="24">
        <v>45390</v>
      </c>
      <c r="J149" s="2"/>
      <c r="K149" s="25"/>
      <c r="L149" s="2" t="s">
        <v>2473</v>
      </c>
      <c r="M149" s="25"/>
      <c r="N149" s="56"/>
    </row>
    <row r="150" spans="1:14" s="1" customFormat="1" hidden="1" x14ac:dyDescent="0.35">
      <c r="A150" s="5" t="s">
        <v>613</v>
      </c>
      <c r="B150" s="2" t="s">
        <v>614</v>
      </c>
      <c r="C150" s="2" t="s">
        <v>615</v>
      </c>
      <c r="D150" s="2" t="s">
        <v>37</v>
      </c>
      <c r="E150" s="26" t="s">
        <v>2476</v>
      </c>
      <c r="F150" s="2" t="s">
        <v>3606</v>
      </c>
      <c r="G150" s="2"/>
      <c r="H150" s="2" t="s">
        <v>230</v>
      </c>
      <c r="I150" s="24">
        <v>45404</v>
      </c>
      <c r="J150" s="2"/>
      <c r="K150" s="25"/>
      <c r="L150" s="2" t="s">
        <v>2473</v>
      </c>
      <c r="M150" s="25"/>
      <c r="N150" s="56"/>
    </row>
    <row r="151" spans="1:14" s="6" customFormat="1" hidden="1" x14ac:dyDescent="0.35">
      <c r="A151" s="5" t="s">
        <v>616</v>
      </c>
      <c r="B151" s="5" t="s">
        <v>617</v>
      </c>
      <c r="C151" s="5" t="s">
        <v>618</v>
      </c>
      <c r="D151" s="5" t="s">
        <v>241</v>
      </c>
      <c r="E151" s="5" t="s">
        <v>241</v>
      </c>
      <c r="F151" s="5" t="s">
        <v>241</v>
      </c>
      <c r="G151" s="5" t="s">
        <v>138</v>
      </c>
      <c r="H151" s="5" t="s">
        <v>619</v>
      </c>
      <c r="I151" s="7">
        <v>45407</v>
      </c>
      <c r="J151" s="5"/>
      <c r="L151" s="5" t="s">
        <v>2474</v>
      </c>
      <c r="N151" s="55"/>
    </row>
    <row r="152" spans="1:14" s="1" customFormat="1" hidden="1" x14ac:dyDescent="0.35">
      <c r="A152" s="5" t="s">
        <v>273</v>
      </c>
      <c r="B152" s="2" t="s">
        <v>272</v>
      </c>
      <c r="C152" s="2" t="s">
        <v>621</v>
      </c>
      <c r="D152" s="2" t="s">
        <v>20</v>
      </c>
      <c r="E152" s="2" t="s">
        <v>20</v>
      </c>
      <c r="F152" s="2" t="s">
        <v>20</v>
      </c>
      <c r="G152" s="2" t="s">
        <v>157</v>
      </c>
      <c r="H152" s="2" t="s">
        <v>622</v>
      </c>
      <c r="I152" s="24">
        <v>45411</v>
      </c>
      <c r="J152" s="2"/>
      <c r="K152" s="25"/>
      <c r="L152" s="2" t="s">
        <v>2473</v>
      </c>
      <c r="M152" s="25"/>
      <c r="N152" s="56"/>
    </row>
    <row r="153" spans="1:14" s="6" customFormat="1" hidden="1" x14ac:dyDescent="0.35">
      <c r="A153" s="5" t="s">
        <v>623</v>
      </c>
      <c r="B153" s="5" t="s">
        <v>624</v>
      </c>
      <c r="C153" s="5" t="s">
        <v>625</v>
      </c>
      <c r="D153" s="5" t="s">
        <v>241</v>
      </c>
      <c r="E153" s="5" t="s">
        <v>241</v>
      </c>
      <c r="F153" s="5" t="s">
        <v>241</v>
      </c>
      <c r="G153" s="5" t="s">
        <v>468</v>
      </c>
      <c r="H153" s="5" t="s">
        <v>627</v>
      </c>
      <c r="I153" s="7">
        <v>45432</v>
      </c>
      <c r="J153" s="5"/>
      <c r="L153" s="5" t="s">
        <v>2474</v>
      </c>
      <c r="N153" s="55"/>
    </row>
    <row r="154" spans="1:14" s="1" customFormat="1" hidden="1" x14ac:dyDescent="0.35">
      <c r="A154" s="5" t="s">
        <v>628</v>
      </c>
      <c r="B154" s="5" t="s">
        <v>629</v>
      </c>
      <c r="C154" s="5" t="s">
        <v>630</v>
      </c>
      <c r="D154" s="5" t="s">
        <v>29</v>
      </c>
      <c r="E154" s="5" t="s">
        <v>395</v>
      </c>
      <c r="F154" s="2" t="s">
        <v>395</v>
      </c>
      <c r="G154" s="6"/>
      <c r="H154" s="5" t="s">
        <v>506</v>
      </c>
      <c r="I154" s="7">
        <v>45467</v>
      </c>
      <c r="J154" s="6" t="s">
        <v>56</v>
      </c>
      <c r="K154" s="6" t="s">
        <v>33</v>
      </c>
      <c r="L154" s="25" t="s">
        <v>2475</v>
      </c>
      <c r="M154" s="25"/>
      <c r="N154" s="56"/>
    </row>
    <row r="155" spans="1:14" s="1" customFormat="1" hidden="1" x14ac:dyDescent="0.35">
      <c r="A155" s="5" t="s">
        <v>631</v>
      </c>
      <c r="B155" s="5" t="s">
        <v>632</v>
      </c>
      <c r="C155" s="5" t="s">
        <v>633</v>
      </c>
      <c r="D155" s="5" t="s">
        <v>29</v>
      </c>
      <c r="E155" s="5" t="s">
        <v>395</v>
      </c>
      <c r="F155" s="2" t="s">
        <v>395</v>
      </c>
      <c r="G155" s="6"/>
      <c r="H155" s="5" t="s">
        <v>187</v>
      </c>
      <c r="I155" s="7">
        <v>45474</v>
      </c>
      <c r="J155" s="6" t="s">
        <v>2529</v>
      </c>
      <c r="K155" s="6" t="s">
        <v>18</v>
      </c>
      <c r="L155" s="2" t="s">
        <v>2473</v>
      </c>
      <c r="M155" s="25"/>
      <c r="N155" s="56"/>
    </row>
    <row r="156" spans="1:14" s="1" customFormat="1" hidden="1" x14ac:dyDescent="0.35">
      <c r="A156" s="5" t="s">
        <v>634</v>
      </c>
      <c r="B156" s="2" t="s">
        <v>635</v>
      </c>
      <c r="C156" s="2" t="s">
        <v>636</v>
      </c>
      <c r="D156" s="2" t="s">
        <v>20</v>
      </c>
      <c r="E156" s="2" t="s">
        <v>20</v>
      </c>
      <c r="F156" s="2" t="s">
        <v>20</v>
      </c>
      <c r="G156" s="2" t="s">
        <v>409</v>
      </c>
      <c r="H156" s="2" t="s">
        <v>221</v>
      </c>
      <c r="I156" s="24">
        <v>45481</v>
      </c>
      <c r="J156" s="2"/>
      <c r="K156" s="25"/>
      <c r="L156" s="2" t="s">
        <v>2473</v>
      </c>
      <c r="M156" s="25"/>
      <c r="N156" s="56"/>
    </row>
    <row r="157" spans="1:14" s="6" customFormat="1" hidden="1" x14ac:dyDescent="0.35">
      <c r="A157" s="5" t="s">
        <v>637</v>
      </c>
      <c r="B157" s="5" t="s">
        <v>638</v>
      </c>
      <c r="C157" s="5" t="s">
        <v>639</v>
      </c>
      <c r="D157" s="5" t="s">
        <v>241</v>
      </c>
      <c r="E157" s="5" t="s">
        <v>241</v>
      </c>
      <c r="F157" s="5" t="s">
        <v>241</v>
      </c>
      <c r="G157" s="5" t="s">
        <v>468</v>
      </c>
      <c r="H157" s="5" t="s">
        <v>640</v>
      </c>
      <c r="I157" s="7">
        <v>45489</v>
      </c>
      <c r="J157" s="5"/>
      <c r="L157" s="5" t="s">
        <v>2474</v>
      </c>
      <c r="N157" s="55"/>
    </row>
    <row r="158" spans="1:14" s="1" customFormat="1" hidden="1" x14ac:dyDescent="0.35">
      <c r="A158" s="5" t="s">
        <v>641</v>
      </c>
      <c r="B158" s="2" t="s">
        <v>642</v>
      </c>
      <c r="C158" s="2" t="s">
        <v>643</v>
      </c>
      <c r="D158" s="2" t="s">
        <v>50</v>
      </c>
      <c r="E158" s="26" t="s">
        <v>2476</v>
      </c>
      <c r="F158" s="2" t="s">
        <v>101</v>
      </c>
      <c r="G158" s="2"/>
      <c r="H158" s="2" t="s">
        <v>106</v>
      </c>
      <c r="I158" s="24">
        <v>45495</v>
      </c>
      <c r="J158" s="2"/>
      <c r="K158" s="25"/>
      <c r="L158" s="2" t="s">
        <v>2473</v>
      </c>
      <c r="M158" s="25"/>
      <c r="N158" s="56"/>
    </row>
    <row r="159" spans="1:14" s="1" customFormat="1" hidden="1" x14ac:dyDescent="0.35">
      <c r="A159" s="5" t="s">
        <v>644</v>
      </c>
      <c r="B159" s="5" t="s">
        <v>645</v>
      </c>
      <c r="C159" s="5" t="s">
        <v>646</v>
      </c>
      <c r="D159" s="5" t="s">
        <v>29</v>
      </c>
      <c r="E159" s="5" t="s">
        <v>395</v>
      </c>
      <c r="F159" s="2" t="s">
        <v>395</v>
      </c>
      <c r="G159" s="6"/>
      <c r="H159" s="5" t="s">
        <v>194</v>
      </c>
      <c r="I159" s="7">
        <v>45509</v>
      </c>
      <c r="J159" s="6" t="s">
        <v>56</v>
      </c>
      <c r="K159" s="6" t="s">
        <v>33</v>
      </c>
      <c r="L159" s="25" t="s">
        <v>2475</v>
      </c>
      <c r="M159" s="25"/>
      <c r="N159" s="56"/>
    </row>
    <row r="160" spans="1:14" s="1" customFormat="1" hidden="1" x14ac:dyDescent="0.35">
      <c r="A160" s="5" t="s">
        <v>648</v>
      </c>
      <c r="B160" s="5" t="s">
        <v>649</v>
      </c>
      <c r="C160" s="5" t="s">
        <v>650</v>
      </c>
      <c r="D160" s="5" t="s">
        <v>29</v>
      </c>
      <c r="E160" s="5" t="s">
        <v>395</v>
      </c>
      <c r="F160" s="2" t="s">
        <v>395</v>
      </c>
      <c r="G160" s="6"/>
      <c r="H160" s="5" t="s">
        <v>651</v>
      </c>
      <c r="I160" s="7">
        <v>45524</v>
      </c>
      <c r="J160" s="6" t="s">
        <v>56</v>
      </c>
      <c r="K160" s="6" t="s">
        <v>33</v>
      </c>
      <c r="L160" s="25" t="s">
        <v>2475</v>
      </c>
      <c r="M160" s="25"/>
      <c r="N160" s="56"/>
    </row>
    <row r="161" spans="1:14" s="1" customFormat="1" hidden="1" x14ac:dyDescent="0.35">
      <c r="A161" s="5" t="s">
        <v>652</v>
      </c>
      <c r="B161" s="5" t="s">
        <v>653</v>
      </c>
      <c r="C161" s="5" t="s">
        <v>654</v>
      </c>
      <c r="D161" s="5" t="s">
        <v>29</v>
      </c>
      <c r="E161" s="5" t="s">
        <v>395</v>
      </c>
      <c r="F161" s="2" t="s">
        <v>395</v>
      </c>
      <c r="G161" s="6"/>
      <c r="H161" s="5" t="s">
        <v>655</v>
      </c>
      <c r="I161" s="7">
        <v>45541</v>
      </c>
      <c r="J161" s="6" t="s">
        <v>56</v>
      </c>
      <c r="K161" s="6" t="s">
        <v>33</v>
      </c>
      <c r="L161" s="25" t="s">
        <v>2475</v>
      </c>
      <c r="M161" s="25"/>
      <c r="N161" s="56"/>
    </row>
    <row r="162" spans="1:14" s="6" customFormat="1" hidden="1" x14ac:dyDescent="0.35">
      <c r="A162" s="5" t="s">
        <v>656</v>
      </c>
      <c r="B162" s="5" t="s">
        <v>657</v>
      </c>
      <c r="C162" s="5" t="s">
        <v>658</v>
      </c>
      <c r="D162" s="5" t="s">
        <v>241</v>
      </c>
      <c r="E162" s="5" t="s">
        <v>241</v>
      </c>
      <c r="F162" s="5" t="s">
        <v>241</v>
      </c>
      <c r="G162" s="5" t="s">
        <v>659</v>
      </c>
      <c r="H162" s="5" t="s">
        <v>660</v>
      </c>
      <c r="I162" s="7">
        <v>45538</v>
      </c>
      <c r="J162" s="5"/>
      <c r="L162" s="5" t="s">
        <v>2474</v>
      </c>
      <c r="M162" s="6" t="s">
        <v>2477</v>
      </c>
      <c r="N162" s="55"/>
    </row>
    <row r="163" spans="1:14" s="1" customFormat="1" hidden="1" x14ac:dyDescent="0.35">
      <c r="A163" s="5" t="s">
        <v>661</v>
      </c>
      <c r="B163" s="2" t="s">
        <v>662</v>
      </c>
      <c r="C163" s="2" t="s">
        <v>663</v>
      </c>
      <c r="D163" s="2" t="s">
        <v>37</v>
      </c>
      <c r="E163" s="26" t="s">
        <v>2476</v>
      </c>
      <c r="F163" s="2" t="s">
        <v>3606</v>
      </c>
      <c r="G163" s="2"/>
      <c r="H163" s="2" t="s">
        <v>370</v>
      </c>
      <c r="I163" s="24">
        <v>45544</v>
      </c>
      <c r="J163" s="2"/>
      <c r="K163" s="25"/>
      <c r="L163" s="2" t="s">
        <v>2473</v>
      </c>
      <c r="M163" s="25"/>
      <c r="N163" s="56"/>
    </row>
    <row r="164" spans="1:14" s="1" customFormat="1" hidden="1" x14ac:dyDescent="0.35">
      <c r="A164" s="5" t="s">
        <v>664</v>
      </c>
      <c r="B164" s="2" t="s">
        <v>665</v>
      </c>
      <c r="C164" s="2" t="s">
        <v>666</v>
      </c>
      <c r="D164" s="2" t="s">
        <v>50</v>
      </c>
      <c r="E164" s="26" t="s">
        <v>2476</v>
      </c>
      <c r="F164" s="2" t="s">
        <v>101</v>
      </c>
      <c r="G164" s="2"/>
      <c r="H164" s="2" t="s">
        <v>115</v>
      </c>
      <c r="I164" s="24">
        <v>45544</v>
      </c>
      <c r="J164" s="2"/>
      <c r="K164" s="25"/>
      <c r="L164" s="2" t="s">
        <v>2473</v>
      </c>
      <c r="M164" s="25"/>
      <c r="N164" s="56"/>
    </row>
    <row r="165" spans="1:14" s="1" customFormat="1" hidden="1" x14ac:dyDescent="0.35">
      <c r="A165" s="5" t="s">
        <v>667</v>
      </c>
      <c r="B165" s="5" t="s">
        <v>668</v>
      </c>
      <c r="C165" s="5" t="s">
        <v>669</v>
      </c>
      <c r="D165" s="5" t="s">
        <v>29</v>
      </c>
      <c r="E165" s="5" t="s">
        <v>395</v>
      </c>
      <c r="F165" s="2" t="s">
        <v>395</v>
      </c>
      <c r="G165" s="6"/>
      <c r="H165" s="5" t="s">
        <v>187</v>
      </c>
      <c r="I165" s="7">
        <v>45551</v>
      </c>
      <c r="J165" s="6" t="s">
        <v>56</v>
      </c>
      <c r="K165" s="6" t="s">
        <v>33</v>
      </c>
      <c r="L165" s="25" t="s">
        <v>2473</v>
      </c>
      <c r="M165" s="25"/>
      <c r="N165" s="56"/>
    </row>
    <row r="166" spans="1:14" s="6" customFormat="1" hidden="1" x14ac:dyDescent="0.35">
      <c r="A166" s="5" t="s">
        <v>674</v>
      </c>
      <c r="B166" s="5" t="s">
        <v>675</v>
      </c>
      <c r="C166" s="5" t="s">
        <v>676</v>
      </c>
      <c r="D166" s="5" t="s">
        <v>241</v>
      </c>
      <c r="E166" s="5" t="s">
        <v>241</v>
      </c>
      <c r="F166" s="5" t="s">
        <v>241</v>
      </c>
      <c r="G166" s="5" t="s">
        <v>468</v>
      </c>
      <c r="H166" s="5" t="s">
        <v>187</v>
      </c>
      <c r="I166" s="7">
        <v>45595</v>
      </c>
      <c r="J166" s="5"/>
      <c r="L166" s="5" t="s">
        <v>2474</v>
      </c>
      <c r="N166" s="55"/>
    </row>
    <row r="167" spans="1:14" s="1" customFormat="1" hidden="1" x14ac:dyDescent="0.35">
      <c r="A167" s="5" t="s">
        <v>677</v>
      </c>
      <c r="B167" s="5" t="s">
        <v>678</v>
      </c>
      <c r="C167" s="5" t="s">
        <v>679</v>
      </c>
      <c r="D167" s="5" t="s">
        <v>29</v>
      </c>
      <c r="E167" s="5" t="s">
        <v>395</v>
      </c>
      <c r="F167" s="2" t="s">
        <v>395</v>
      </c>
      <c r="G167" s="6"/>
      <c r="H167" s="5" t="s">
        <v>655</v>
      </c>
      <c r="I167" s="7">
        <v>45628</v>
      </c>
      <c r="J167" s="6" t="s">
        <v>56</v>
      </c>
      <c r="K167" s="6" t="s">
        <v>33</v>
      </c>
      <c r="L167" s="25" t="s">
        <v>2475</v>
      </c>
      <c r="M167" s="25"/>
      <c r="N167" s="56"/>
    </row>
    <row r="168" spans="1:14" s="6" customFormat="1" hidden="1" x14ac:dyDescent="0.35">
      <c r="A168" s="5" t="s">
        <v>680</v>
      </c>
      <c r="B168" s="5" t="s">
        <v>681</v>
      </c>
      <c r="C168" s="5" t="s">
        <v>682</v>
      </c>
      <c r="D168" s="5" t="s">
        <v>241</v>
      </c>
      <c r="E168" s="5" t="s">
        <v>241</v>
      </c>
      <c r="F168" s="5" t="s">
        <v>241</v>
      </c>
      <c r="G168" s="5" t="s">
        <v>683</v>
      </c>
      <c r="H168" s="5" t="s">
        <v>684</v>
      </c>
      <c r="I168" s="7">
        <v>45609</v>
      </c>
      <c r="J168" s="5"/>
      <c r="L168" s="5" t="s">
        <v>2474</v>
      </c>
      <c r="N168" s="55"/>
    </row>
    <row r="169" spans="1:14" s="1" customFormat="1" hidden="1" x14ac:dyDescent="0.35">
      <c r="A169" s="5" t="s">
        <v>685</v>
      </c>
      <c r="B169" s="5" t="s">
        <v>686</v>
      </c>
      <c r="C169" s="5" t="s">
        <v>687</v>
      </c>
      <c r="D169" s="5" t="s">
        <v>29</v>
      </c>
      <c r="E169" s="5" t="s">
        <v>395</v>
      </c>
      <c r="F169" s="2" t="s">
        <v>395</v>
      </c>
      <c r="G169" s="6"/>
      <c r="H169" s="5" t="s">
        <v>688</v>
      </c>
      <c r="I169" s="7">
        <v>45642</v>
      </c>
      <c r="J169" s="6" t="s">
        <v>56</v>
      </c>
      <c r="K169" s="6" t="s">
        <v>33</v>
      </c>
      <c r="L169" s="25" t="s">
        <v>2475</v>
      </c>
      <c r="M169" s="25"/>
      <c r="N169" s="56"/>
    </row>
    <row r="170" spans="1:14" s="1" customFormat="1" hidden="1" x14ac:dyDescent="0.35">
      <c r="A170" s="5" t="s">
        <v>689</v>
      </c>
      <c r="B170" s="5" t="s">
        <v>690</v>
      </c>
      <c r="C170" s="5" t="s">
        <v>691</v>
      </c>
      <c r="D170" s="5" t="s">
        <v>29</v>
      </c>
      <c r="E170" s="5" t="s">
        <v>395</v>
      </c>
      <c r="F170" s="2" t="s">
        <v>395</v>
      </c>
      <c r="G170" s="6"/>
      <c r="H170" s="5" t="s">
        <v>187</v>
      </c>
      <c r="I170" s="7">
        <v>45623</v>
      </c>
      <c r="J170" s="6" t="s">
        <v>2685</v>
      </c>
      <c r="K170" s="6" t="s">
        <v>33</v>
      </c>
      <c r="L170" s="25" t="s">
        <v>2475</v>
      </c>
      <c r="M170" s="25"/>
      <c r="N170" s="56"/>
    </row>
    <row r="171" spans="1:14" s="1" customFormat="1" hidden="1" x14ac:dyDescent="0.35">
      <c r="A171" s="5" t="s">
        <v>692</v>
      </c>
      <c r="B171" s="2" t="s">
        <v>693</v>
      </c>
      <c r="C171" s="2" t="s">
        <v>694</v>
      </c>
      <c r="D171" s="2" t="s">
        <v>50</v>
      </c>
      <c r="E171" s="26" t="s">
        <v>2476</v>
      </c>
      <c r="F171" s="2" t="s">
        <v>3605</v>
      </c>
      <c r="G171" s="2"/>
      <c r="H171" s="2" t="s">
        <v>695</v>
      </c>
      <c r="I171" s="24">
        <v>45621</v>
      </c>
      <c r="J171" s="2"/>
      <c r="K171" s="25"/>
      <c r="L171" s="2" t="s">
        <v>2473</v>
      </c>
      <c r="M171" s="25"/>
      <c r="N171" s="56"/>
    </row>
    <row r="172" spans="1:14" s="1" customFormat="1" hidden="1" x14ac:dyDescent="0.35">
      <c r="A172" s="5" t="s">
        <v>696</v>
      </c>
      <c r="B172" s="2" t="s">
        <v>697</v>
      </c>
      <c r="C172" s="2" t="s">
        <v>698</v>
      </c>
      <c r="D172" s="2" t="s">
        <v>50</v>
      </c>
      <c r="E172" s="26" t="s">
        <v>2476</v>
      </c>
      <c r="F172" s="2" t="s">
        <v>101</v>
      </c>
      <c r="G172" s="2"/>
      <c r="H172" s="2" t="s">
        <v>106</v>
      </c>
      <c r="I172" s="24">
        <v>45621</v>
      </c>
      <c r="J172" s="2"/>
      <c r="K172" s="25"/>
      <c r="L172" s="2" t="s">
        <v>2473</v>
      </c>
      <c r="M172" s="25"/>
      <c r="N172" s="56"/>
    </row>
    <row r="173" spans="1:14" s="6" customFormat="1" hidden="1" x14ac:dyDescent="0.35">
      <c r="A173" s="5" t="s">
        <v>699</v>
      </c>
      <c r="B173" s="5" t="s">
        <v>700</v>
      </c>
      <c r="C173" s="5" t="s">
        <v>701</v>
      </c>
      <c r="D173" s="5" t="s">
        <v>241</v>
      </c>
      <c r="E173" s="5" t="s">
        <v>241</v>
      </c>
      <c r="F173" s="5" t="s">
        <v>241</v>
      </c>
      <c r="G173" s="5" t="s">
        <v>702</v>
      </c>
      <c r="H173" s="5" t="s">
        <v>703</v>
      </c>
      <c r="I173" s="7">
        <v>45621</v>
      </c>
      <c r="J173" s="5"/>
      <c r="L173" s="5" t="s">
        <v>2474</v>
      </c>
      <c r="N173" s="55"/>
    </row>
    <row r="174" spans="1:14" s="6" customFormat="1" hidden="1" x14ac:dyDescent="0.35">
      <c r="A174" s="5" t="s">
        <v>704</v>
      </c>
      <c r="B174" s="5" t="s">
        <v>705</v>
      </c>
      <c r="C174" s="5" t="s">
        <v>706</v>
      </c>
      <c r="D174" s="5" t="s">
        <v>241</v>
      </c>
      <c r="E174" s="5" t="s">
        <v>241</v>
      </c>
      <c r="F174" s="5" t="s">
        <v>241</v>
      </c>
      <c r="G174" s="5" t="s">
        <v>659</v>
      </c>
      <c r="H174" s="5" t="s">
        <v>707</v>
      </c>
      <c r="I174" s="7">
        <v>45622</v>
      </c>
      <c r="J174" s="5"/>
      <c r="L174" s="5" t="s">
        <v>2474</v>
      </c>
      <c r="N174" s="55"/>
    </row>
    <row r="175" spans="1:14" s="6" customFormat="1" hidden="1" x14ac:dyDescent="0.35">
      <c r="A175" s="5" t="s">
        <v>708</v>
      </c>
      <c r="B175" s="5" t="s">
        <v>709</v>
      </c>
      <c r="C175" s="5" t="s">
        <v>710</v>
      </c>
      <c r="D175" s="5" t="s">
        <v>241</v>
      </c>
      <c r="E175" s="5" t="s">
        <v>241</v>
      </c>
      <c r="F175" s="5" t="s">
        <v>241</v>
      </c>
      <c r="G175" s="5" t="s">
        <v>702</v>
      </c>
      <c r="H175" s="5" t="s">
        <v>711</v>
      </c>
      <c r="I175" s="7">
        <v>45622</v>
      </c>
      <c r="J175" s="5"/>
      <c r="L175" s="5" t="s">
        <v>2474</v>
      </c>
      <c r="N175" s="55"/>
    </row>
    <row r="176" spans="1:14" s="6" customFormat="1" hidden="1" x14ac:dyDescent="0.35">
      <c r="A176" s="5" t="s">
        <v>712</v>
      </c>
      <c r="B176" s="5" t="s">
        <v>713</v>
      </c>
      <c r="C176" s="5" t="s">
        <v>714</v>
      </c>
      <c r="D176" s="5" t="s">
        <v>241</v>
      </c>
      <c r="E176" s="5" t="s">
        <v>241</v>
      </c>
      <c r="F176" s="5" t="s">
        <v>241</v>
      </c>
      <c r="G176" s="5" t="s">
        <v>702</v>
      </c>
      <c r="H176" s="5" t="s">
        <v>711</v>
      </c>
      <c r="I176" s="7">
        <v>45623</v>
      </c>
      <c r="J176" s="5"/>
      <c r="L176" s="5" t="s">
        <v>2474</v>
      </c>
      <c r="N176" s="55"/>
    </row>
    <row r="177" spans="1:14" s="6" customFormat="1" hidden="1" x14ac:dyDescent="0.35">
      <c r="A177" s="5" t="s">
        <v>715</v>
      </c>
      <c r="B177" s="5" t="s">
        <v>716</v>
      </c>
      <c r="C177" s="5" t="s">
        <v>717</v>
      </c>
      <c r="D177" s="5" t="s">
        <v>241</v>
      </c>
      <c r="E177" s="5" t="s">
        <v>241</v>
      </c>
      <c r="F177" s="5" t="s">
        <v>241</v>
      </c>
      <c r="G177" s="5" t="s">
        <v>468</v>
      </c>
      <c r="H177" s="5" t="s">
        <v>718</v>
      </c>
      <c r="I177" s="7">
        <v>45625</v>
      </c>
      <c r="J177" s="5"/>
      <c r="L177" s="5" t="s">
        <v>2474</v>
      </c>
      <c r="N177" s="55"/>
    </row>
    <row r="178" spans="1:14" s="6" customFormat="1" hidden="1" x14ac:dyDescent="0.35">
      <c r="A178" s="5" t="s">
        <v>719</v>
      </c>
      <c r="B178" s="5" t="s">
        <v>720</v>
      </c>
      <c r="C178" s="5" t="s">
        <v>721</v>
      </c>
      <c r="D178" s="5" t="s">
        <v>241</v>
      </c>
      <c r="E178" s="5" t="s">
        <v>241</v>
      </c>
      <c r="F178" s="5" t="s">
        <v>241</v>
      </c>
      <c r="G178" s="5" t="s">
        <v>702</v>
      </c>
      <c r="H178" s="5" t="s">
        <v>722</v>
      </c>
      <c r="I178" s="7">
        <v>45635</v>
      </c>
      <c r="J178" s="5"/>
      <c r="L178" s="5" t="s">
        <v>2474</v>
      </c>
      <c r="N178" s="55"/>
    </row>
    <row r="179" spans="1:14" s="6" customFormat="1" hidden="1" x14ac:dyDescent="0.35">
      <c r="A179" s="5" t="s">
        <v>723</v>
      </c>
      <c r="B179" s="5" t="s">
        <v>724</v>
      </c>
      <c r="C179" s="5" t="s">
        <v>725</v>
      </c>
      <c r="D179" s="5" t="s">
        <v>241</v>
      </c>
      <c r="E179" s="5" t="s">
        <v>241</v>
      </c>
      <c r="F179" s="5" t="s">
        <v>241</v>
      </c>
      <c r="G179" s="5" t="s">
        <v>468</v>
      </c>
      <c r="H179" s="5" t="s">
        <v>718</v>
      </c>
      <c r="I179" s="7">
        <v>45636</v>
      </c>
      <c r="J179" s="5"/>
      <c r="L179" s="5" t="s">
        <v>2474</v>
      </c>
      <c r="N179" s="55"/>
    </row>
    <row r="180" spans="1:14" s="6" customFormat="1" hidden="1" x14ac:dyDescent="0.35">
      <c r="A180" s="5" t="s">
        <v>726</v>
      </c>
      <c r="B180" s="5" t="s">
        <v>727</v>
      </c>
      <c r="C180" s="5" t="s">
        <v>728</v>
      </c>
      <c r="D180" s="5" t="s">
        <v>241</v>
      </c>
      <c r="E180" s="5" t="s">
        <v>241</v>
      </c>
      <c r="F180" s="5" t="s">
        <v>241</v>
      </c>
      <c r="G180" s="5" t="s">
        <v>702</v>
      </c>
      <c r="H180" s="5" t="s">
        <v>729</v>
      </c>
      <c r="I180" s="7">
        <v>45638</v>
      </c>
      <c r="J180" s="5"/>
      <c r="L180" s="5" t="s">
        <v>2474</v>
      </c>
      <c r="N180" s="55"/>
    </row>
    <row r="181" spans="1:14" s="6" customFormat="1" hidden="1" x14ac:dyDescent="0.35">
      <c r="A181" s="5" t="s">
        <v>730</v>
      </c>
      <c r="B181" s="5" t="s">
        <v>731</v>
      </c>
      <c r="C181" s="5" t="s">
        <v>732</v>
      </c>
      <c r="D181" s="5" t="s">
        <v>241</v>
      </c>
      <c r="E181" s="5" t="s">
        <v>241</v>
      </c>
      <c r="F181" s="5" t="s">
        <v>241</v>
      </c>
      <c r="G181" s="5" t="s">
        <v>702</v>
      </c>
      <c r="H181" s="5" t="s">
        <v>729</v>
      </c>
      <c r="I181" s="7">
        <v>45639</v>
      </c>
      <c r="J181" s="5"/>
      <c r="L181" s="5" t="s">
        <v>2474</v>
      </c>
      <c r="N181" s="55"/>
    </row>
    <row r="182" spans="1:14" s="6" customFormat="1" hidden="1" x14ac:dyDescent="0.35">
      <c r="A182" s="5" t="s">
        <v>733</v>
      </c>
      <c r="B182" s="5" t="s">
        <v>734</v>
      </c>
      <c r="C182" s="5" t="s">
        <v>735</v>
      </c>
      <c r="D182" s="5" t="s">
        <v>241</v>
      </c>
      <c r="E182" s="5" t="s">
        <v>241</v>
      </c>
      <c r="F182" s="5" t="s">
        <v>241</v>
      </c>
      <c r="G182" s="5" t="s">
        <v>702</v>
      </c>
      <c r="H182" s="5" t="s">
        <v>729</v>
      </c>
      <c r="I182" s="7">
        <v>45642</v>
      </c>
      <c r="J182" s="5"/>
      <c r="L182" s="5" t="s">
        <v>2474</v>
      </c>
      <c r="N182" s="55"/>
    </row>
    <row r="183" spans="1:14" s="6" customFormat="1" hidden="1" x14ac:dyDescent="0.35">
      <c r="A183" s="5" t="s">
        <v>736</v>
      </c>
      <c r="B183" s="5" t="s">
        <v>737</v>
      </c>
      <c r="C183" s="5" t="s">
        <v>738</v>
      </c>
      <c r="D183" s="5" t="s">
        <v>241</v>
      </c>
      <c r="E183" s="5" t="s">
        <v>241</v>
      </c>
      <c r="F183" s="5" t="s">
        <v>241</v>
      </c>
      <c r="G183" s="5" t="s">
        <v>702</v>
      </c>
      <c r="H183" s="5" t="s">
        <v>729</v>
      </c>
      <c r="I183" s="7">
        <v>45642</v>
      </c>
      <c r="J183" s="5"/>
      <c r="L183" s="5" t="s">
        <v>2474</v>
      </c>
      <c r="N183" s="55"/>
    </row>
    <row r="184" spans="1:14" s="6" customFormat="1" hidden="1" x14ac:dyDescent="0.35">
      <c r="A184" s="5" t="s">
        <v>739</v>
      </c>
      <c r="B184" s="5" t="s">
        <v>740</v>
      </c>
      <c r="C184" s="5" t="s">
        <v>741</v>
      </c>
      <c r="D184" s="5" t="s">
        <v>241</v>
      </c>
      <c r="E184" s="5" t="s">
        <v>241</v>
      </c>
      <c r="F184" s="5" t="s">
        <v>241</v>
      </c>
      <c r="G184" s="5" t="s">
        <v>702</v>
      </c>
      <c r="H184" s="5" t="s">
        <v>729</v>
      </c>
      <c r="I184" s="7">
        <v>45642</v>
      </c>
      <c r="J184" s="5"/>
      <c r="L184" s="5" t="s">
        <v>2474</v>
      </c>
      <c r="N184" s="55"/>
    </row>
    <row r="185" spans="1:14" s="6" customFormat="1" hidden="1" x14ac:dyDescent="0.35">
      <c r="A185" s="5" t="s">
        <v>742</v>
      </c>
      <c r="B185" s="5" t="s">
        <v>743</v>
      </c>
      <c r="C185" s="5" t="s">
        <v>744</v>
      </c>
      <c r="D185" s="5" t="s">
        <v>241</v>
      </c>
      <c r="E185" s="5" t="s">
        <v>241</v>
      </c>
      <c r="F185" s="5" t="s">
        <v>241</v>
      </c>
      <c r="G185" s="5" t="s">
        <v>702</v>
      </c>
      <c r="H185" s="5" t="s">
        <v>729</v>
      </c>
      <c r="I185" s="7">
        <v>45652</v>
      </c>
      <c r="J185" s="5"/>
      <c r="L185" s="5" t="s">
        <v>2474</v>
      </c>
      <c r="N185" s="55"/>
    </row>
    <row r="186" spans="1:14" s="1" customFormat="1" hidden="1" x14ac:dyDescent="0.35">
      <c r="A186" s="5" t="s">
        <v>745</v>
      </c>
      <c r="B186" s="2" t="s">
        <v>746</v>
      </c>
      <c r="C186" s="2" t="s">
        <v>747</v>
      </c>
      <c r="D186" s="2" t="s">
        <v>50</v>
      </c>
      <c r="E186" s="26" t="s">
        <v>2476</v>
      </c>
      <c r="F186" s="2" t="s">
        <v>3605</v>
      </c>
      <c r="G186" s="2"/>
      <c r="H186" s="2" t="s">
        <v>230</v>
      </c>
      <c r="I186" s="24">
        <v>45663</v>
      </c>
      <c r="J186" s="2"/>
      <c r="K186" s="25"/>
      <c r="L186" s="2" t="s">
        <v>2473</v>
      </c>
      <c r="M186" s="25"/>
      <c r="N186" s="56"/>
    </row>
    <row r="187" spans="1:14" s="1" customFormat="1" hidden="1" x14ac:dyDescent="0.35">
      <c r="A187" s="5" t="s">
        <v>748</v>
      </c>
      <c r="B187" s="2" t="s">
        <v>749</v>
      </c>
      <c r="C187" s="2" t="s">
        <v>750</v>
      </c>
      <c r="D187" s="2" t="s">
        <v>50</v>
      </c>
      <c r="E187" s="26" t="s">
        <v>2476</v>
      </c>
      <c r="F187" s="2" t="s">
        <v>3605</v>
      </c>
      <c r="G187" s="2"/>
      <c r="H187" s="2" t="s">
        <v>230</v>
      </c>
      <c r="I187" s="24">
        <v>45670</v>
      </c>
      <c r="J187" s="2"/>
      <c r="K187" s="25"/>
      <c r="L187" s="2" t="s">
        <v>2473</v>
      </c>
      <c r="M187" s="25"/>
      <c r="N187" s="56"/>
    </row>
    <row r="188" spans="1:14" s="6" customFormat="1" hidden="1" x14ac:dyDescent="0.35">
      <c r="A188" s="5" t="s">
        <v>751</v>
      </c>
      <c r="B188" s="5" t="s">
        <v>752</v>
      </c>
      <c r="C188" s="5" t="s">
        <v>753</v>
      </c>
      <c r="D188" s="5" t="s">
        <v>241</v>
      </c>
      <c r="E188" s="5" t="s">
        <v>241</v>
      </c>
      <c r="F188" s="5" t="s">
        <v>241</v>
      </c>
      <c r="G188" s="5" t="s">
        <v>702</v>
      </c>
      <c r="H188" s="5" t="s">
        <v>221</v>
      </c>
      <c r="I188" s="7">
        <v>45667</v>
      </c>
      <c r="J188" s="5"/>
      <c r="L188" s="5" t="s">
        <v>2474</v>
      </c>
      <c r="N188" s="55"/>
    </row>
    <row r="189" spans="1:14" s="1" customFormat="1" hidden="1" x14ac:dyDescent="0.35">
      <c r="A189" s="5" t="s">
        <v>87</v>
      </c>
      <c r="B189" s="2" t="s">
        <v>86</v>
      </c>
      <c r="C189" s="2" t="s">
        <v>754</v>
      </c>
      <c r="D189" s="2" t="s">
        <v>20</v>
      </c>
      <c r="E189" s="2" t="s">
        <v>20</v>
      </c>
      <c r="F189" s="2" t="s">
        <v>20</v>
      </c>
      <c r="G189" s="2"/>
      <c r="H189" s="2" t="s">
        <v>755</v>
      </c>
      <c r="I189" s="24">
        <v>45667</v>
      </c>
      <c r="J189" s="2"/>
      <c r="K189" s="25"/>
      <c r="L189" s="2" t="s">
        <v>2473</v>
      </c>
      <c r="M189" s="25"/>
      <c r="N189" s="56"/>
    </row>
    <row r="190" spans="1:14" s="1" customFormat="1" hidden="1" x14ac:dyDescent="0.35">
      <c r="A190" s="5" t="s">
        <v>756</v>
      </c>
      <c r="B190" s="2" t="s">
        <v>757</v>
      </c>
      <c r="C190" s="2" t="s">
        <v>758</v>
      </c>
      <c r="D190" s="2" t="s">
        <v>50</v>
      </c>
      <c r="E190" s="26" t="s">
        <v>2476</v>
      </c>
      <c r="F190" s="2" t="s">
        <v>101</v>
      </c>
      <c r="G190" s="2"/>
      <c r="H190" s="2" t="s">
        <v>759</v>
      </c>
      <c r="I190" s="24">
        <v>45678</v>
      </c>
      <c r="J190" s="2"/>
      <c r="K190" s="25"/>
      <c r="L190" s="2" t="s">
        <v>2473</v>
      </c>
      <c r="M190" s="25"/>
      <c r="N190" s="56"/>
    </row>
    <row r="191" spans="1:14" s="1" customFormat="1" hidden="1" x14ac:dyDescent="0.35">
      <c r="A191" s="5" t="s">
        <v>760</v>
      </c>
      <c r="B191" s="2" t="s">
        <v>761</v>
      </c>
      <c r="C191" s="2" t="s">
        <v>762</v>
      </c>
      <c r="D191" s="2" t="s">
        <v>50</v>
      </c>
      <c r="E191" s="26" t="s">
        <v>2476</v>
      </c>
      <c r="F191" s="2" t="s">
        <v>3605</v>
      </c>
      <c r="G191" s="2"/>
      <c r="H191" s="2" t="s">
        <v>230</v>
      </c>
      <c r="I191" s="24">
        <v>45678</v>
      </c>
      <c r="J191" s="2"/>
      <c r="K191" s="25"/>
      <c r="L191" s="2" t="s">
        <v>2473</v>
      </c>
      <c r="M191" s="25"/>
      <c r="N191" s="56"/>
    </row>
    <row r="192" spans="1:14" s="6" customFormat="1" hidden="1" x14ac:dyDescent="0.35">
      <c r="A192" s="5" t="s">
        <v>763</v>
      </c>
      <c r="B192" s="5" t="s">
        <v>764</v>
      </c>
      <c r="C192" s="5" t="s">
        <v>765</v>
      </c>
      <c r="D192" s="5" t="s">
        <v>241</v>
      </c>
      <c r="E192" s="5" t="s">
        <v>241</v>
      </c>
      <c r="F192" s="5" t="s">
        <v>241</v>
      </c>
      <c r="G192" s="5" t="s">
        <v>702</v>
      </c>
      <c r="H192" s="5" t="s">
        <v>729</v>
      </c>
      <c r="I192" s="7">
        <v>45677</v>
      </c>
      <c r="J192" s="5"/>
      <c r="L192" s="5" t="s">
        <v>2474</v>
      </c>
      <c r="N192" s="55"/>
    </row>
    <row r="193" spans="1:14" s="6" customFormat="1" hidden="1" x14ac:dyDescent="0.35">
      <c r="A193" s="5" t="s">
        <v>766</v>
      </c>
      <c r="B193" s="5" t="s">
        <v>767</v>
      </c>
      <c r="C193" s="5" t="s">
        <v>768</v>
      </c>
      <c r="D193" s="5" t="s">
        <v>241</v>
      </c>
      <c r="E193" s="5" t="s">
        <v>241</v>
      </c>
      <c r="F193" s="5" t="s">
        <v>241</v>
      </c>
      <c r="G193" s="5" t="s">
        <v>702</v>
      </c>
      <c r="H193" s="5" t="s">
        <v>711</v>
      </c>
      <c r="I193" s="7">
        <v>45679</v>
      </c>
      <c r="J193" s="5"/>
      <c r="L193" s="5" t="s">
        <v>2474</v>
      </c>
      <c r="N193" s="55"/>
    </row>
    <row r="194" spans="1:14" s="6" customFormat="1" hidden="1" x14ac:dyDescent="0.35">
      <c r="A194" s="5" t="s">
        <v>769</v>
      </c>
      <c r="B194" s="5" t="s">
        <v>770</v>
      </c>
      <c r="C194" s="5" t="s">
        <v>771</v>
      </c>
      <c r="D194" s="5" t="s">
        <v>241</v>
      </c>
      <c r="E194" s="5" t="s">
        <v>241</v>
      </c>
      <c r="F194" s="5" t="s">
        <v>241</v>
      </c>
      <c r="G194" s="5" t="s">
        <v>702</v>
      </c>
      <c r="H194" s="5" t="s">
        <v>711</v>
      </c>
      <c r="I194" s="7">
        <v>45680</v>
      </c>
      <c r="J194" s="5"/>
      <c r="L194" s="5" t="s">
        <v>2474</v>
      </c>
      <c r="N194" s="55"/>
    </row>
    <row r="195" spans="1:14" s="6" customFormat="1" hidden="1" x14ac:dyDescent="0.35">
      <c r="A195" s="5" t="s">
        <v>772</v>
      </c>
      <c r="B195" s="5" t="s">
        <v>773</v>
      </c>
      <c r="C195" s="5" t="s">
        <v>774</v>
      </c>
      <c r="D195" s="5" t="s">
        <v>241</v>
      </c>
      <c r="E195" s="5" t="s">
        <v>241</v>
      </c>
      <c r="F195" s="5" t="s">
        <v>241</v>
      </c>
      <c r="G195" s="5" t="s">
        <v>702</v>
      </c>
      <c r="H195" s="5" t="s">
        <v>729</v>
      </c>
      <c r="I195" s="7">
        <v>45684</v>
      </c>
      <c r="J195" s="5"/>
      <c r="L195" s="5" t="s">
        <v>2474</v>
      </c>
      <c r="N195" s="55"/>
    </row>
    <row r="196" spans="1:14" s="1" customFormat="1" hidden="1" x14ac:dyDescent="0.35">
      <c r="A196" s="5" t="s">
        <v>775</v>
      </c>
      <c r="B196" s="2" t="s">
        <v>776</v>
      </c>
      <c r="C196" s="2" t="s">
        <v>777</v>
      </c>
      <c r="D196" s="2" t="s">
        <v>50</v>
      </c>
      <c r="E196" s="26" t="s">
        <v>2476</v>
      </c>
      <c r="F196" s="2" t="s">
        <v>101</v>
      </c>
      <c r="G196" s="2"/>
      <c r="H196" s="2" t="s">
        <v>759</v>
      </c>
      <c r="I196" s="24">
        <v>45691</v>
      </c>
      <c r="J196" s="2"/>
      <c r="K196" s="25"/>
      <c r="L196" s="2" t="s">
        <v>2473</v>
      </c>
      <c r="M196" s="25"/>
      <c r="N196" s="56"/>
    </row>
    <row r="197" spans="1:14" s="6" customFormat="1" hidden="1" x14ac:dyDescent="0.35">
      <c r="A197" s="5" t="s">
        <v>778</v>
      </c>
      <c r="B197" s="5" t="s">
        <v>779</v>
      </c>
      <c r="C197" s="5" t="s">
        <v>780</v>
      </c>
      <c r="D197" s="5" t="s">
        <v>241</v>
      </c>
      <c r="E197" s="5" t="s">
        <v>241</v>
      </c>
      <c r="F197" s="5" t="s">
        <v>241</v>
      </c>
      <c r="G197" s="5" t="s">
        <v>468</v>
      </c>
      <c r="H197" s="5" t="s">
        <v>781</v>
      </c>
      <c r="I197" s="7">
        <v>45691</v>
      </c>
      <c r="J197" s="5"/>
      <c r="L197" s="5" t="s">
        <v>2474</v>
      </c>
      <c r="N197" s="55"/>
    </row>
    <row r="198" spans="1:14" s="6" customFormat="1" hidden="1" x14ac:dyDescent="0.35">
      <c r="A198" s="5" t="s">
        <v>782</v>
      </c>
      <c r="B198" s="5" t="s">
        <v>783</v>
      </c>
      <c r="C198" s="5" t="s">
        <v>784</v>
      </c>
      <c r="D198" s="5" t="s">
        <v>241</v>
      </c>
      <c r="E198" s="5" t="s">
        <v>241</v>
      </c>
      <c r="F198" s="5" t="s">
        <v>241</v>
      </c>
      <c r="G198" s="5" t="s">
        <v>138</v>
      </c>
      <c r="H198" s="5" t="s">
        <v>785</v>
      </c>
      <c r="I198" s="7">
        <v>45691</v>
      </c>
      <c r="J198" s="5"/>
      <c r="L198" s="5" t="s">
        <v>2474</v>
      </c>
      <c r="N198" s="55"/>
    </row>
    <row r="199" spans="1:14" s="6" customFormat="1" hidden="1" x14ac:dyDescent="0.35">
      <c r="A199" s="5" t="s">
        <v>786</v>
      </c>
      <c r="B199" s="5" t="s">
        <v>787</v>
      </c>
      <c r="C199" s="5" t="s">
        <v>788</v>
      </c>
      <c r="D199" s="5" t="s">
        <v>241</v>
      </c>
      <c r="E199" s="5" t="s">
        <v>241</v>
      </c>
      <c r="F199" s="5" t="s">
        <v>241</v>
      </c>
      <c r="G199" s="5" t="s">
        <v>702</v>
      </c>
      <c r="H199" s="5" t="s">
        <v>789</v>
      </c>
      <c r="I199" s="7">
        <v>45692</v>
      </c>
      <c r="J199" s="5"/>
      <c r="L199" s="5" t="s">
        <v>2474</v>
      </c>
      <c r="N199" s="55"/>
    </row>
    <row r="200" spans="1:14" s="1" customFormat="1" hidden="1" x14ac:dyDescent="0.35">
      <c r="A200" s="5" t="s">
        <v>790</v>
      </c>
      <c r="B200" s="2" t="s">
        <v>791</v>
      </c>
      <c r="C200" s="2" t="s">
        <v>792</v>
      </c>
      <c r="D200" s="2" t="s">
        <v>50</v>
      </c>
      <c r="E200" s="26" t="s">
        <v>2476</v>
      </c>
      <c r="F200" s="2" t="s">
        <v>101</v>
      </c>
      <c r="G200" s="2"/>
      <c r="H200" s="2" t="s">
        <v>106</v>
      </c>
      <c r="I200" s="24">
        <v>45698</v>
      </c>
      <c r="J200" s="2"/>
      <c r="K200" s="25"/>
      <c r="L200" s="2" t="s">
        <v>2473</v>
      </c>
      <c r="M200" s="25"/>
      <c r="N200" s="56"/>
    </row>
    <row r="201" spans="1:14" s="1" customFormat="1" hidden="1" x14ac:dyDescent="0.35">
      <c r="A201" s="5" t="s">
        <v>793</v>
      </c>
      <c r="B201" s="2" t="s">
        <v>794</v>
      </c>
      <c r="C201" s="2" t="s">
        <v>795</v>
      </c>
      <c r="D201" s="2" t="s">
        <v>50</v>
      </c>
      <c r="E201" s="26" t="s">
        <v>2476</v>
      </c>
      <c r="F201" s="2" t="s">
        <v>3605</v>
      </c>
      <c r="G201" s="2" t="s">
        <v>796</v>
      </c>
      <c r="H201" s="2" t="s">
        <v>230</v>
      </c>
      <c r="I201" s="24">
        <v>45726</v>
      </c>
      <c r="J201" s="2"/>
      <c r="K201" s="25"/>
      <c r="L201" s="2" t="s">
        <v>2473</v>
      </c>
      <c r="M201" s="25"/>
      <c r="N201" s="56"/>
    </row>
    <row r="202" spans="1:14" s="1" customFormat="1" hidden="1" x14ac:dyDescent="0.35">
      <c r="A202" s="5" t="s">
        <v>797</v>
      </c>
      <c r="B202" s="5" t="s">
        <v>798</v>
      </c>
      <c r="C202" s="5" t="s">
        <v>799</v>
      </c>
      <c r="D202" s="5" t="s">
        <v>29</v>
      </c>
      <c r="E202" s="5" t="s">
        <v>395</v>
      </c>
      <c r="F202" s="2" t="s">
        <v>395</v>
      </c>
      <c r="G202" s="6"/>
      <c r="H202" s="5" t="s">
        <v>187</v>
      </c>
      <c r="I202" s="7">
        <v>45700</v>
      </c>
      <c r="J202" s="6" t="s">
        <v>56</v>
      </c>
      <c r="K202" s="6" t="s">
        <v>33</v>
      </c>
      <c r="L202" s="25" t="s">
        <v>2475</v>
      </c>
      <c r="M202" s="25"/>
      <c r="N202" s="56"/>
    </row>
    <row r="203" spans="1:14" s="1" customFormat="1" hidden="1" x14ac:dyDescent="0.35">
      <c r="A203" s="5" t="s">
        <v>800</v>
      </c>
      <c r="B203" s="2" t="s">
        <v>801</v>
      </c>
      <c r="C203" s="2" t="s">
        <v>802</v>
      </c>
      <c r="D203" s="2" t="s">
        <v>50</v>
      </c>
      <c r="E203" s="26" t="s">
        <v>2476</v>
      </c>
      <c r="F203" s="2" t="s">
        <v>3605</v>
      </c>
      <c r="G203" s="2"/>
      <c r="H203" s="2" t="s">
        <v>803</v>
      </c>
      <c r="I203" s="24">
        <v>45705</v>
      </c>
      <c r="J203" s="2"/>
      <c r="K203" s="25"/>
      <c r="L203" s="2" t="s">
        <v>2473</v>
      </c>
      <c r="M203" s="25"/>
      <c r="N203" s="56"/>
    </row>
    <row r="204" spans="1:14" s="1" customFormat="1" hidden="1" x14ac:dyDescent="0.35">
      <c r="A204" s="5" t="s">
        <v>804</v>
      </c>
      <c r="B204" s="2" t="s">
        <v>805</v>
      </c>
      <c r="C204" s="2" t="s">
        <v>806</v>
      </c>
      <c r="D204" s="2" t="s">
        <v>50</v>
      </c>
      <c r="E204" s="26" t="s">
        <v>2476</v>
      </c>
      <c r="F204" s="2" t="s">
        <v>3605</v>
      </c>
      <c r="G204" s="2"/>
      <c r="H204" s="2" t="s">
        <v>803</v>
      </c>
      <c r="I204" s="24">
        <v>45705</v>
      </c>
      <c r="J204" s="2"/>
      <c r="K204" s="25"/>
      <c r="L204" s="2" t="s">
        <v>2473</v>
      </c>
      <c r="M204" s="25"/>
      <c r="N204" s="56"/>
    </row>
    <row r="205" spans="1:14" s="1" customFormat="1" hidden="1" x14ac:dyDescent="0.35">
      <c r="A205" s="5" t="s">
        <v>808</v>
      </c>
      <c r="B205" s="2" t="s">
        <v>809</v>
      </c>
      <c r="C205" s="2" t="s">
        <v>810</v>
      </c>
      <c r="D205" s="2" t="s">
        <v>50</v>
      </c>
      <c r="E205" s="26" t="s">
        <v>2476</v>
      </c>
      <c r="F205" s="2" t="s">
        <v>3605</v>
      </c>
      <c r="G205" s="2"/>
      <c r="H205" s="2" t="s">
        <v>803</v>
      </c>
      <c r="I205" s="24">
        <v>45705</v>
      </c>
      <c r="J205" s="2"/>
      <c r="K205" s="25"/>
      <c r="L205" s="2" t="s">
        <v>2473</v>
      </c>
      <c r="M205" s="25"/>
      <c r="N205" s="56"/>
    </row>
    <row r="206" spans="1:14" s="6" customFormat="1" hidden="1" x14ac:dyDescent="0.35">
      <c r="A206" s="5" t="s">
        <v>812</v>
      </c>
      <c r="B206" s="5" t="s">
        <v>813</v>
      </c>
      <c r="C206" s="5" t="s">
        <v>814</v>
      </c>
      <c r="D206" s="5" t="s">
        <v>241</v>
      </c>
      <c r="E206" s="5" t="s">
        <v>241</v>
      </c>
      <c r="F206" s="5" t="s">
        <v>241</v>
      </c>
      <c r="G206" s="5" t="s">
        <v>76</v>
      </c>
      <c r="H206" s="5" t="s">
        <v>815</v>
      </c>
      <c r="I206" s="7">
        <v>45709</v>
      </c>
      <c r="J206" s="5"/>
      <c r="L206" s="5" t="s">
        <v>2474</v>
      </c>
      <c r="N206" s="55"/>
    </row>
    <row r="207" spans="1:14" s="1" customFormat="1" hidden="1" x14ac:dyDescent="0.35">
      <c r="A207" s="5" t="s">
        <v>816</v>
      </c>
      <c r="B207" s="5" t="s">
        <v>817</v>
      </c>
      <c r="C207" s="5" t="s">
        <v>818</v>
      </c>
      <c r="D207" s="5" t="s">
        <v>29</v>
      </c>
      <c r="E207" s="5" t="s">
        <v>395</v>
      </c>
      <c r="F207" s="2" t="s">
        <v>395</v>
      </c>
      <c r="G207" s="6"/>
      <c r="H207" s="5" t="s">
        <v>819</v>
      </c>
      <c r="I207" s="7">
        <v>45748</v>
      </c>
      <c r="J207" s="6" t="s">
        <v>282</v>
      </c>
      <c r="K207" s="6" t="s">
        <v>33</v>
      </c>
      <c r="L207" s="25" t="s">
        <v>2475</v>
      </c>
      <c r="M207" s="25"/>
      <c r="N207" s="56"/>
    </row>
    <row r="208" spans="1:14" s="1" customFormat="1" hidden="1" x14ac:dyDescent="0.35">
      <c r="A208" s="5" t="s">
        <v>823</v>
      </c>
      <c r="B208" s="2" t="s">
        <v>824</v>
      </c>
      <c r="C208" s="2" t="s">
        <v>825</v>
      </c>
      <c r="D208" s="2" t="s">
        <v>37</v>
      </c>
      <c r="E208" s="26" t="s">
        <v>2476</v>
      </c>
      <c r="F208" s="2" t="s">
        <v>3606</v>
      </c>
      <c r="G208" s="2"/>
      <c r="H208" s="2" t="s">
        <v>230</v>
      </c>
      <c r="I208" s="24">
        <v>45719</v>
      </c>
      <c r="J208" s="2"/>
      <c r="K208" s="25"/>
      <c r="L208" s="2" t="s">
        <v>2473</v>
      </c>
      <c r="M208" s="25"/>
      <c r="N208" s="56"/>
    </row>
    <row r="209" spans="1:14" s="1" customFormat="1" hidden="1" x14ac:dyDescent="0.35">
      <c r="A209" s="5" t="s">
        <v>832</v>
      </c>
      <c r="B209" s="2" t="s">
        <v>833</v>
      </c>
      <c r="C209" s="2" t="s">
        <v>834</v>
      </c>
      <c r="D209" s="2" t="s">
        <v>37</v>
      </c>
      <c r="E209" s="26" t="s">
        <v>2476</v>
      </c>
      <c r="F209" s="2" t="s">
        <v>3606</v>
      </c>
      <c r="G209" s="2"/>
      <c r="H209" s="2" t="s">
        <v>230</v>
      </c>
      <c r="I209" s="24">
        <v>45728</v>
      </c>
      <c r="J209" s="2"/>
      <c r="K209" s="25"/>
      <c r="L209" s="2" t="s">
        <v>2473</v>
      </c>
      <c r="M209" s="25"/>
      <c r="N209" s="56"/>
    </row>
    <row r="210" spans="1:14" s="1" customFormat="1" hidden="1" x14ac:dyDescent="0.35">
      <c r="A210" s="5" t="s">
        <v>837</v>
      </c>
      <c r="B210" s="2" t="s">
        <v>838</v>
      </c>
      <c r="C210" s="2" t="s">
        <v>839</v>
      </c>
      <c r="D210" s="2" t="s">
        <v>50</v>
      </c>
      <c r="E210" s="26" t="s">
        <v>2476</v>
      </c>
      <c r="F210" s="2" t="s">
        <v>3605</v>
      </c>
      <c r="G210" s="2"/>
      <c r="H210" s="2" t="s">
        <v>230</v>
      </c>
      <c r="I210" s="24">
        <v>45733</v>
      </c>
      <c r="J210" s="2"/>
      <c r="K210" s="25"/>
      <c r="L210" s="2" t="s">
        <v>2473</v>
      </c>
      <c r="M210" s="25"/>
      <c r="N210" s="56"/>
    </row>
    <row r="211" spans="1:14" s="6" customFormat="1" hidden="1" x14ac:dyDescent="0.35">
      <c r="A211" s="5" t="s">
        <v>840</v>
      </c>
      <c r="B211" s="5" t="s">
        <v>841</v>
      </c>
      <c r="C211" s="5" t="s">
        <v>842</v>
      </c>
      <c r="D211" s="5" t="s">
        <v>241</v>
      </c>
      <c r="E211" s="5" t="s">
        <v>241</v>
      </c>
      <c r="F211" s="5" t="s">
        <v>241</v>
      </c>
      <c r="G211" s="5" t="s">
        <v>138</v>
      </c>
      <c r="H211" s="5" t="s">
        <v>843</v>
      </c>
      <c r="I211" s="7">
        <v>45733</v>
      </c>
      <c r="J211" s="5"/>
      <c r="L211" s="5" t="s">
        <v>2474</v>
      </c>
      <c r="N211" s="55"/>
    </row>
    <row r="212" spans="1:14" s="1" customFormat="1" hidden="1" x14ac:dyDescent="0.35">
      <c r="A212" s="5" t="s">
        <v>844</v>
      </c>
      <c r="B212" s="2" t="s">
        <v>845</v>
      </c>
      <c r="C212" s="2" t="s">
        <v>846</v>
      </c>
      <c r="D212" s="2" t="s">
        <v>37</v>
      </c>
      <c r="E212" s="26" t="s">
        <v>2476</v>
      </c>
      <c r="F212" s="2" t="s">
        <v>3606</v>
      </c>
      <c r="G212" s="2"/>
      <c r="H212" s="2" t="s">
        <v>230</v>
      </c>
      <c r="I212" s="24">
        <v>45735</v>
      </c>
      <c r="J212" s="2"/>
      <c r="K212" s="25"/>
      <c r="L212" s="2" t="s">
        <v>2473</v>
      </c>
      <c r="M212" s="25"/>
      <c r="N212" s="56"/>
    </row>
    <row r="213" spans="1:14" s="6" customFormat="1" hidden="1" x14ac:dyDescent="0.35">
      <c r="A213" s="5" t="s">
        <v>847</v>
      </c>
      <c r="B213" s="5" t="s">
        <v>848</v>
      </c>
      <c r="C213" s="5" t="s">
        <v>849</v>
      </c>
      <c r="D213" s="5" t="s">
        <v>241</v>
      </c>
      <c r="E213" s="5" t="s">
        <v>241</v>
      </c>
      <c r="F213" s="5" t="s">
        <v>241</v>
      </c>
      <c r="G213" s="5" t="s">
        <v>138</v>
      </c>
      <c r="H213" s="5" t="s">
        <v>850</v>
      </c>
      <c r="I213" s="7">
        <v>45740</v>
      </c>
      <c r="J213" s="5"/>
      <c r="L213" s="5" t="s">
        <v>2474</v>
      </c>
      <c r="N213" s="55"/>
    </row>
    <row r="214" spans="1:14" s="1" customFormat="1" hidden="1" x14ac:dyDescent="0.35">
      <c r="A214" s="5" t="s">
        <v>412</v>
      </c>
      <c r="B214" s="2" t="s">
        <v>411</v>
      </c>
      <c r="C214" s="2" t="s">
        <v>851</v>
      </c>
      <c r="D214" s="2" t="s">
        <v>20</v>
      </c>
      <c r="E214" s="2" t="s">
        <v>20</v>
      </c>
      <c r="F214" s="2" t="s">
        <v>20</v>
      </c>
      <c r="G214" s="2" t="s">
        <v>409</v>
      </c>
      <c r="H214" s="2" t="s">
        <v>852</v>
      </c>
      <c r="I214" s="24">
        <v>45747</v>
      </c>
      <c r="J214" s="2"/>
      <c r="K214" s="25"/>
      <c r="L214" s="2" t="s">
        <v>2473</v>
      </c>
      <c r="M214" s="25"/>
      <c r="N214" s="56"/>
    </row>
    <row r="215" spans="1:14" s="1" customFormat="1" hidden="1" x14ac:dyDescent="0.35">
      <c r="A215" s="5" t="s">
        <v>853</v>
      </c>
      <c r="B215" s="2" t="s">
        <v>854</v>
      </c>
      <c r="C215" s="2" t="s">
        <v>855</v>
      </c>
      <c r="D215" s="2" t="s">
        <v>20</v>
      </c>
      <c r="E215" s="2" t="s">
        <v>20</v>
      </c>
      <c r="F215" s="2" t="s">
        <v>20</v>
      </c>
      <c r="G215" s="2" t="s">
        <v>84</v>
      </c>
      <c r="H215" s="2" t="s">
        <v>856</v>
      </c>
      <c r="I215" s="24">
        <v>45747</v>
      </c>
      <c r="J215" s="2"/>
      <c r="K215" s="25"/>
      <c r="L215" s="2" t="s">
        <v>2473</v>
      </c>
      <c r="M215" s="25"/>
      <c r="N215" s="56"/>
    </row>
    <row r="216" spans="1:14" s="6" customFormat="1" hidden="1" x14ac:dyDescent="0.35">
      <c r="A216" s="5" t="s">
        <v>857</v>
      </c>
      <c r="B216" s="5" t="s">
        <v>858</v>
      </c>
      <c r="C216" s="5" t="s">
        <v>859</v>
      </c>
      <c r="D216" s="5" t="s">
        <v>241</v>
      </c>
      <c r="E216" s="5" t="s">
        <v>241</v>
      </c>
      <c r="F216" s="5" t="s">
        <v>241</v>
      </c>
      <c r="G216" s="5" t="s">
        <v>702</v>
      </c>
      <c r="H216" s="5" t="s">
        <v>221</v>
      </c>
      <c r="I216" s="7">
        <v>45754</v>
      </c>
      <c r="J216" s="5"/>
      <c r="L216" s="5" t="s">
        <v>2474</v>
      </c>
      <c r="N216" s="55"/>
    </row>
    <row r="217" spans="1:14" s="1" customFormat="1" hidden="1" x14ac:dyDescent="0.35">
      <c r="A217" s="5" t="s">
        <v>863</v>
      </c>
      <c r="B217" s="2" t="s">
        <v>864</v>
      </c>
      <c r="C217" s="2" t="s">
        <v>865</v>
      </c>
      <c r="D217" s="2" t="s">
        <v>20</v>
      </c>
      <c r="E217" s="2" t="s">
        <v>20</v>
      </c>
      <c r="F217" s="2" t="s">
        <v>20</v>
      </c>
      <c r="G217" s="2" t="s">
        <v>84</v>
      </c>
      <c r="H217" s="2" t="s">
        <v>856</v>
      </c>
      <c r="I217" s="24">
        <v>45763</v>
      </c>
      <c r="J217" s="2"/>
      <c r="K217" s="25"/>
      <c r="L217" s="2" t="s">
        <v>2473</v>
      </c>
      <c r="M217" s="25"/>
      <c r="N217" s="56"/>
    </row>
    <row r="218" spans="1:14" s="6" customFormat="1" hidden="1" x14ac:dyDescent="0.35">
      <c r="A218" s="5" t="s">
        <v>866</v>
      </c>
      <c r="B218" s="5" t="s">
        <v>867</v>
      </c>
      <c r="C218" s="5" t="s">
        <v>868</v>
      </c>
      <c r="D218" s="5" t="s">
        <v>241</v>
      </c>
      <c r="E218" s="5" t="s">
        <v>241</v>
      </c>
      <c r="F218" s="5" t="s">
        <v>241</v>
      </c>
      <c r="G218" s="5" t="s">
        <v>702</v>
      </c>
      <c r="H218" s="5" t="s">
        <v>869</v>
      </c>
      <c r="I218" s="7">
        <v>45762</v>
      </c>
      <c r="J218" s="5"/>
      <c r="L218" s="5" t="s">
        <v>2474</v>
      </c>
      <c r="N218" s="55"/>
    </row>
    <row r="219" spans="1:14" s="6" customFormat="1" hidden="1" x14ac:dyDescent="0.35">
      <c r="A219" s="5" t="s">
        <v>870</v>
      </c>
      <c r="B219" s="5" t="s">
        <v>871</v>
      </c>
      <c r="C219" s="5" t="s">
        <v>872</v>
      </c>
      <c r="D219" s="5" t="s">
        <v>241</v>
      </c>
      <c r="E219" s="5" t="s">
        <v>241</v>
      </c>
      <c r="F219" s="5" t="s">
        <v>241</v>
      </c>
      <c r="G219" s="5" t="s">
        <v>702</v>
      </c>
      <c r="H219" s="5" t="s">
        <v>869</v>
      </c>
      <c r="I219" s="7">
        <v>45770</v>
      </c>
      <c r="J219" s="5"/>
      <c r="L219" s="5" t="s">
        <v>2474</v>
      </c>
      <c r="N219" s="55"/>
    </row>
    <row r="220" spans="1:14" s="6" customFormat="1" hidden="1" x14ac:dyDescent="0.35">
      <c r="A220" s="5" t="s">
        <v>877</v>
      </c>
      <c r="B220" s="5" t="s">
        <v>878</v>
      </c>
      <c r="C220" s="5" t="s">
        <v>879</v>
      </c>
      <c r="D220" s="5" t="s">
        <v>241</v>
      </c>
      <c r="E220" s="5" t="s">
        <v>241</v>
      </c>
      <c r="F220" s="5" t="s">
        <v>241</v>
      </c>
      <c r="G220" s="5" t="s">
        <v>702</v>
      </c>
      <c r="H220" s="5" t="s">
        <v>880</v>
      </c>
      <c r="I220" s="7">
        <v>45775</v>
      </c>
      <c r="J220" s="5"/>
      <c r="L220" s="5" t="s">
        <v>2474</v>
      </c>
      <c r="N220" s="55"/>
    </row>
    <row r="221" spans="1:14" s="6" customFormat="1" hidden="1" x14ac:dyDescent="0.35">
      <c r="A221" s="5" t="s">
        <v>885</v>
      </c>
      <c r="B221" s="5" t="s">
        <v>886</v>
      </c>
      <c r="C221" s="5" t="s">
        <v>887</v>
      </c>
      <c r="D221" s="5" t="s">
        <v>241</v>
      </c>
      <c r="E221" s="5" t="s">
        <v>241</v>
      </c>
      <c r="F221" s="5" t="s">
        <v>241</v>
      </c>
      <c r="G221" s="5" t="s">
        <v>659</v>
      </c>
      <c r="H221" s="5" t="s">
        <v>888</v>
      </c>
      <c r="I221" s="7">
        <v>45777</v>
      </c>
      <c r="J221" s="5"/>
      <c r="L221" s="5" t="s">
        <v>2474</v>
      </c>
      <c r="N221" s="55"/>
    </row>
    <row r="222" spans="1:14" s="6" customFormat="1" hidden="1" x14ac:dyDescent="0.35">
      <c r="A222" s="5" t="s">
        <v>889</v>
      </c>
      <c r="B222" s="5" t="s">
        <v>890</v>
      </c>
      <c r="C222" s="5" t="s">
        <v>891</v>
      </c>
      <c r="D222" s="5" t="s">
        <v>241</v>
      </c>
      <c r="E222" s="5" t="s">
        <v>241</v>
      </c>
      <c r="F222" s="5" t="s">
        <v>241</v>
      </c>
      <c r="G222" s="5" t="s">
        <v>39</v>
      </c>
      <c r="H222" s="5" t="s">
        <v>892</v>
      </c>
      <c r="I222" s="7">
        <v>45796</v>
      </c>
      <c r="J222" s="5"/>
      <c r="L222" s="5" t="s">
        <v>2474</v>
      </c>
      <c r="N222" s="55"/>
    </row>
    <row r="223" spans="1:14" s="1" customFormat="1" hidden="1" x14ac:dyDescent="0.35">
      <c r="A223" s="5" t="s">
        <v>126</v>
      </c>
      <c r="B223" s="2" t="s">
        <v>125</v>
      </c>
      <c r="C223" s="2" t="s">
        <v>893</v>
      </c>
      <c r="D223" s="2" t="s">
        <v>50</v>
      </c>
      <c r="E223" s="26" t="s">
        <v>2476</v>
      </c>
      <c r="F223" s="2" t="s">
        <v>3605</v>
      </c>
      <c r="G223" s="2"/>
      <c r="H223" s="2" t="s">
        <v>75</v>
      </c>
      <c r="I223" s="24">
        <v>45789</v>
      </c>
      <c r="J223" s="2"/>
      <c r="K223" s="25"/>
      <c r="L223" s="2" t="s">
        <v>2473</v>
      </c>
      <c r="M223" s="25"/>
      <c r="N223" s="56"/>
    </row>
    <row r="224" spans="1:14" s="1" customFormat="1" hidden="1" x14ac:dyDescent="0.35">
      <c r="A224" s="5" t="s">
        <v>895</v>
      </c>
      <c r="B224" s="5" t="s">
        <v>896</v>
      </c>
      <c r="C224" s="5" t="s">
        <v>897</v>
      </c>
      <c r="D224" s="5" t="s">
        <v>29</v>
      </c>
      <c r="E224" s="5" t="s">
        <v>395</v>
      </c>
      <c r="F224" s="2" t="s">
        <v>395</v>
      </c>
      <c r="G224" s="6"/>
      <c r="H224" s="5" t="s">
        <v>187</v>
      </c>
      <c r="I224" s="7">
        <v>45792</v>
      </c>
      <c r="J224" s="6" t="s">
        <v>620</v>
      </c>
      <c r="K224" s="6" t="s">
        <v>33</v>
      </c>
      <c r="L224" s="25" t="s">
        <v>2475</v>
      </c>
      <c r="M224" s="25"/>
      <c r="N224" s="56"/>
    </row>
    <row r="225" spans="1:14" s="6" customFormat="1" hidden="1" x14ac:dyDescent="0.35">
      <c r="A225" s="5" t="s">
        <v>898</v>
      </c>
      <c r="B225" s="5" t="s">
        <v>899</v>
      </c>
      <c r="C225" s="5" t="s">
        <v>900</v>
      </c>
      <c r="D225" s="5" t="s">
        <v>241</v>
      </c>
      <c r="E225" s="5" t="s">
        <v>241</v>
      </c>
      <c r="F225" s="5" t="s">
        <v>241</v>
      </c>
      <c r="G225" s="5" t="s">
        <v>138</v>
      </c>
      <c r="H225" s="5" t="s">
        <v>785</v>
      </c>
      <c r="I225" s="7">
        <v>45798</v>
      </c>
      <c r="J225" s="5"/>
      <c r="L225" s="5" t="s">
        <v>2474</v>
      </c>
      <c r="N225" s="55"/>
    </row>
    <row r="226" spans="1:14" s="6" customFormat="1" hidden="1" x14ac:dyDescent="0.35">
      <c r="A226" s="5" t="s">
        <v>901</v>
      </c>
      <c r="B226" s="5" t="s">
        <v>902</v>
      </c>
      <c r="C226" s="5" t="s">
        <v>903</v>
      </c>
      <c r="D226" s="5" t="s">
        <v>241</v>
      </c>
      <c r="E226" s="5" t="s">
        <v>241</v>
      </c>
      <c r="F226" s="5" t="s">
        <v>241</v>
      </c>
      <c r="G226" s="5" t="s">
        <v>138</v>
      </c>
      <c r="H226" s="5" t="s">
        <v>187</v>
      </c>
      <c r="I226" s="7">
        <v>45798</v>
      </c>
      <c r="J226" s="5"/>
      <c r="L226" s="5" t="s">
        <v>2474</v>
      </c>
      <c r="N226" s="55"/>
    </row>
    <row r="227" spans="1:14" s="1" customFormat="1" hidden="1" x14ac:dyDescent="0.35">
      <c r="A227" s="5" t="s">
        <v>904</v>
      </c>
      <c r="B227" s="2" t="s">
        <v>905</v>
      </c>
      <c r="C227" s="2" t="s">
        <v>906</v>
      </c>
      <c r="D227" s="2" t="s">
        <v>20</v>
      </c>
      <c r="E227" s="2" t="s">
        <v>20</v>
      </c>
      <c r="F227" s="2" t="s">
        <v>20</v>
      </c>
      <c r="G227" s="2" t="s">
        <v>907</v>
      </c>
      <c r="H227" s="2" t="s">
        <v>908</v>
      </c>
      <c r="I227" s="24">
        <v>45805</v>
      </c>
      <c r="J227" s="2"/>
      <c r="K227" s="25"/>
      <c r="L227" s="2" t="s">
        <v>2473</v>
      </c>
      <c r="M227" s="25"/>
      <c r="N227" s="56"/>
    </row>
    <row r="228" spans="1:14" s="6" customFormat="1" hidden="1" x14ac:dyDescent="0.35">
      <c r="A228" s="5" t="s">
        <v>909</v>
      </c>
      <c r="B228" s="5" t="s">
        <v>910</v>
      </c>
      <c r="C228" s="5" t="s">
        <v>911</v>
      </c>
      <c r="D228" s="5" t="s">
        <v>241</v>
      </c>
      <c r="E228" s="5" t="s">
        <v>241</v>
      </c>
      <c r="F228" s="5" t="s">
        <v>241</v>
      </c>
      <c r="G228" s="5" t="s">
        <v>138</v>
      </c>
      <c r="H228" s="5" t="s">
        <v>912</v>
      </c>
      <c r="I228" s="7">
        <v>45807</v>
      </c>
      <c r="J228" s="5"/>
      <c r="L228" s="5" t="s">
        <v>2474</v>
      </c>
      <c r="N228" s="55"/>
    </row>
    <row r="229" spans="1:14" s="6" customFormat="1" hidden="1" x14ac:dyDescent="0.35">
      <c r="A229" s="5" t="s">
        <v>913</v>
      </c>
      <c r="B229" s="5" t="s">
        <v>914</v>
      </c>
      <c r="C229" s="5" t="s">
        <v>915</v>
      </c>
      <c r="D229" s="5" t="s">
        <v>241</v>
      </c>
      <c r="E229" s="5" t="s">
        <v>241</v>
      </c>
      <c r="F229" s="5" t="s">
        <v>241</v>
      </c>
      <c r="G229" s="5" t="s">
        <v>702</v>
      </c>
      <c r="H229" s="5" t="s">
        <v>221</v>
      </c>
      <c r="I229" s="7">
        <v>45810</v>
      </c>
      <c r="J229" s="5"/>
      <c r="L229" s="5" t="s">
        <v>2474</v>
      </c>
      <c r="N229" s="55"/>
    </row>
    <row r="230" spans="1:14" s="6" customFormat="1" hidden="1" x14ac:dyDescent="0.35">
      <c r="A230" s="5" t="s">
        <v>916</v>
      </c>
      <c r="B230" s="5" t="s">
        <v>917</v>
      </c>
      <c r="C230" s="5" t="s">
        <v>918</v>
      </c>
      <c r="D230" s="5" t="s">
        <v>241</v>
      </c>
      <c r="E230" s="5" t="s">
        <v>241</v>
      </c>
      <c r="F230" s="5" t="s">
        <v>241</v>
      </c>
      <c r="G230" s="5" t="s">
        <v>138</v>
      </c>
      <c r="H230" s="5" t="s">
        <v>919</v>
      </c>
      <c r="I230" s="7">
        <v>45811</v>
      </c>
      <c r="J230" s="5"/>
      <c r="L230" s="5" t="s">
        <v>2474</v>
      </c>
      <c r="N230" s="55"/>
    </row>
    <row r="231" spans="1:14" s="6" customFormat="1" hidden="1" x14ac:dyDescent="0.35">
      <c r="A231" s="5" t="s">
        <v>920</v>
      </c>
      <c r="B231" s="5" t="s">
        <v>921</v>
      </c>
      <c r="C231" s="5" t="s">
        <v>922</v>
      </c>
      <c r="D231" s="5" t="s">
        <v>241</v>
      </c>
      <c r="E231" s="5" t="s">
        <v>241</v>
      </c>
      <c r="F231" s="5" t="s">
        <v>241</v>
      </c>
      <c r="G231" s="5" t="s">
        <v>702</v>
      </c>
      <c r="H231" s="5" t="s">
        <v>923</v>
      </c>
      <c r="I231" s="7">
        <v>45810</v>
      </c>
      <c r="J231" s="5"/>
      <c r="L231" s="5" t="s">
        <v>2474</v>
      </c>
      <c r="N231" s="55"/>
    </row>
    <row r="232" spans="1:14" s="6" customFormat="1" hidden="1" x14ac:dyDescent="0.35">
      <c r="A232" s="5" t="s">
        <v>924</v>
      </c>
      <c r="B232" s="5" t="s">
        <v>925</v>
      </c>
      <c r="C232" s="5" t="s">
        <v>926</v>
      </c>
      <c r="D232" s="5" t="s">
        <v>241</v>
      </c>
      <c r="E232" s="5" t="s">
        <v>241</v>
      </c>
      <c r="F232" s="5" t="s">
        <v>241</v>
      </c>
      <c r="G232" s="5" t="s">
        <v>138</v>
      </c>
      <c r="H232" s="5" t="s">
        <v>506</v>
      </c>
      <c r="I232" s="7">
        <v>45817</v>
      </c>
      <c r="J232" s="5"/>
      <c r="L232" s="5" t="s">
        <v>2474</v>
      </c>
      <c r="N232" s="55"/>
    </row>
    <row r="233" spans="1:14" s="1" customFormat="1" hidden="1" x14ac:dyDescent="0.35">
      <c r="A233" s="5" t="s">
        <v>929</v>
      </c>
      <c r="B233" s="2" t="s">
        <v>930</v>
      </c>
      <c r="C233" s="2" t="s">
        <v>931</v>
      </c>
      <c r="D233" s="2" t="s">
        <v>20</v>
      </c>
      <c r="E233" s="2" t="s">
        <v>20</v>
      </c>
      <c r="F233" s="2" t="s">
        <v>20</v>
      </c>
      <c r="G233" s="2" t="s">
        <v>43</v>
      </c>
      <c r="H233" s="2" t="s">
        <v>932</v>
      </c>
      <c r="I233" s="24">
        <v>45824</v>
      </c>
      <c r="J233" s="2"/>
      <c r="K233" s="25"/>
      <c r="L233" s="2" t="s">
        <v>2473</v>
      </c>
      <c r="M233" s="25"/>
      <c r="N233" s="56"/>
    </row>
    <row r="234" spans="1:14" s="6" customFormat="1" hidden="1" x14ac:dyDescent="0.35">
      <c r="A234" s="5" t="s">
        <v>933</v>
      </c>
      <c r="B234" s="5" t="s">
        <v>934</v>
      </c>
      <c r="C234" s="5" t="s">
        <v>935</v>
      </c>
      <c r="D234" s="5" t="s">
        <v>241</v>
      </c>
      <c r="E234" s="5" t="s">
        <v>241</v>
      </c>
      <c r="F234" s="5" t="s">
        <v>241</v>
      </c>
      <c r="G234" s="5" t="s">
        <v>138</v>
      </c>
      <c r="H234" s="5" t="s">
        <v>936</v>
      </c>
      <c r="I234" s="7">
        <v>45814</v>
      </c>
      <c r="J234" s="5"/>
      <c r="L234" s="5" t="s">
        <v>2474</v>
      </c>
      <c r="N234" s="55"/>
    </row>
    <row r="235" spans="1:14" s="6" customFormat="1" hidden="1" x14ac:dyDescent="0.35">
      <c r="A235" s="5" t="s">
        <v>937</v>
      </c>
      <c r="B235" s="5" t="s">
        <v>938</v>
      </c>
      <c r="C235" s="5" t="s">
        <v>939</v>
      </c>
      <c r="D235" s="5" t="s">
        <v>241</v>
      </c>
      <c r="E235" s="5" t="s">
        <v>241</v>
      </c>
      <c r="F235" s="5" t="s">
        <v>241</v>
      </c>
      <c r="G235" s="5" t="s">
        <v>702</v>
      </c>
      <c r="H235" s="5" t="s">
        <v>729</v>
      </c>
      <c r="I235" s="7">
        <v>45817</v>
      </c>
      <c r="J235" s="5"/>
      <c r="L235" s="5" t="s">
        <v>2474</v>
      </c>
      <c r="N235" s="55"/>
    </row>
    <row r="236" spans="1:14" s="6" customFormat="1" hidden="1" x14ac:dyDescent="0.35">
      <c r="A236" s="5" t="s">
        <v>940</v>
      </c>
      <c r="B236" s="5" t="s">
        <v>941</v>
      </c>
      <c r="C236" s="5" t="s">
        <v>942</v>
      </c>
      <c r="D236" s="5" t="s">
        <v>241</v>
      </c>
      <c r="E236" s="5" t="s">
        <v>241</v>
      </c>
      <c r="F236" s="5" t="s">
        <v>241</v>
      </c>
      <c r="G236" s="5" t="s">
        <v>702</v>
      </c>
      <c r="H236" s="5" t="s">
        <v>729</v>
      </c>
      <c r="I236" s="7">
        <v>45817</v>
      </c>
      <c r="J236" s="5"/>
      <c r="L236" s="5" t="s">
        <v>2474</v>
      </c>
      <c r="N236" s="55"/>
    </row>
    <row r="237" spans="1:14" s="6" customFormat="1" hidden="1" x14ac:dyDescent="0.35">
      <c r="A237" s="5" t="s">
        <v>943</v>
      </c>
      <c r="B237" s="5" t="s">
        <v>944</v>
      </c>
      <c r="C237" s="5" t="s">
        <v>945</v>
      </c>
      <c r="D237" s="5" t="s">
        <v>241</v>
      </c>
      <c r="E237" s="5" t="s">
        <v>241</v>
      </c>
      <c r="F237" s="5" t="s">
        <v>241</v>
      </c>
      <c r="G237" s="5" t="s">
        <v>468</v>
      </c>
      <c r="H237" s="5" t="s">
        <v>187</v>
      </c>
      <c r="I237" s="7">
        <v>45818</v>
      </c>
      <c r="J237" s="5"/>
      <c r="L237" s="5" t="s">
        <v>2474</v>
      </c>
      <c r="N237" s="55"/>
    </row>
    <row r="238" spans="1:14" s="6" customFormat="1" hidden="1" x14ac:dyDescent="0.35">
      <c r="A238" s="5" t="s">
        <v>950</v>
      </c>
      <c r="B238" s="5" t="s">
        <v>951</v>
      </c>
      <c r="C238" s="5" t="s">
        <v>952</v>
      </c>
      <c r="D238" s="5" t="s">
        <v>241</v>
      </c>
      <c r="E238" s="5" t="s">
        <v>241</v>
      </c>
      <c r="F238" s="5" t="s">
        <v>241</v>
      </c>
      <c r="G238" s="5" t="s">
        <v>39</v>
      </c>
      <c r="H238" s="5" t="s">
        <v>953</v>
      </c>
      <c r="I238" s="7">
        <v>45849</v>
      </c>
      <c r="J238" s="5"/>
      <c r="L238" s="5" t="s">
        <v>2474</v>
      </c>
      <c r="N238" s="55"/>
    </row>
    <row r="239" spans="1:14" s="6" customFormat="1" hidden="1" x14ac:dyDescent="0.35">
      <c r="A239" s="5" t="s">
        <v>954</v>
      </c>
      <c r="B239" s="5" t="s">
        <v>955</v>
      </c>
      <c r="C239" s="5" t="s">
        <v>956</v>
      </c>
      <c r="D239" s="5" t="s">
        <v>241</v>
      </c>
      <c r="E239" s="5" t="s">
        <v>241</v>
      </c>
      <c r="F239" s="5" t="s">
        <v>241</v>
      </c>
      <c r="G239" s="5" t="s">
        <v>138</v>
      </c>
      <c r="H239" s="5" t="s">
        <v>785</v>
      </c>
      <c r="I239" s="7">
        <v>45826</v>
      </c>
      <c r="J239" s="5"/>
      <c r="L239" s="5" t="s">
        <v>2474</v>
      </c>
      <c r="N239" s="55"/>
    </row>
    <row r="240" spans="1:14" s="6" customFormat="1" hidden="1" x14ac:dyDescent="0.35">
      <c r="A240" s="5" t="s">
        <v>957</v>
      </c>
      <c r="B240" s="5" t="s">
        <v>958</v>
      </c>
      <c r="C240" s="5" t="s">
        <v>959</v>
      </c>
      <c r="D240" s="5" t="s">
        <v>241</v>
      </c>
      <c r="E240" s="5" t="s">
        <v>241</v>
      </c>
      <c r="F240" s="5" t="s">
        <v>241</v>
      </c>
      <c r="G240" s="5" t="s">
        <v>702</v>
      </c>
      <c r="H240" s="5" t="s">
        <v>869</v>
      </c>
      <c r="I240" s="7">
        <v>45831</v>
      </c>
      <c r="J240" s="5"/>
      <c r="L240" s="5" t="s">
        <v>2474</v>
      </c>
      <c r="N240" s="55"/>
    </row>
    <row r="241" spans="1:14" s="6" customFormat="1" hidden="1" x14ac:dyDescent="0.35">
      <c r="A241" s="5" t="s">
        <v>960</v>
      </c>
      <c r="B241" s="5" t="s">
        <v>961</v>
      </c>
      <c r="C241" s="5" t="s">
        <v>962</v>
      </c>
      <c r="D241" s="5" t="s">
        <v>241</v>
      </c>
      <c r="E241" s="5" t="s">
        <v>241</v>
      </c>
      <c r="F241" s="5" t="s">
        <v>241</v>
      </c>
      <c r="G241" s="5" t="s">
        <v>468</v>
      </c>
      <c r="H241" s="5" t="s">
        <v>963</v>
      </c>
      <c r="I241" s="7">
        <v>45832</v>
      </c>
      <c r="J241" s="5"/>
      <c r="L241" s="5" t="s">
        <v>2474</v>
      </c>
      <c r="N241" s="55"/>
    </row>
    <row r="242" spans="1:14" s="6" customFormat="1" hidden="1" x14ac:dyDescent="0.35">
      <c r="A242" s="5" t="s">
        <v>964</v>
      </c>
      <c r="B242" s="5" t="s">
        <v>965</v>
      </c>
      <c r="C242" s="5" t="s">
        <v>966</v>
      </c>
      <c r="D242" s="5" t="s">
        <v>241</v>
      </c>
      <c r="E242" s="5" t="s">
        <v>241</v>
      </c>
      <c r="F242" s="5" t="s">
        <v>241</v>
      </c>
      <c r="G242" s="5" t="s">
        <v>138</v>
      </c>
      <c r="H242" s="5" t="s">
        <v>967</v>
      </c>
      <c r="I242" s="7">
        <v>45832</v>
      </c>
      <c r="J242" s="5"/>
      <c r="L242" s="5" t="s">
        <v>2474</v>
      </c>
      <c r="N242" s="55"/>
    </row>
    <row r="243" spans="1:14" s="1" customFormat="1" hidden="1" x14ac:dyDescent="0.35">
      <c r="A243" s="5" t="s">
        <v>968</v>
      </c>
      <c r="B243" s="5" t="s">
        <v>969</v>
      </c>
      <c r="C243" s="5" t="s">
        <v>970</v>
      </c>
      <c r="D243" s="5" t="s">
        <v>29</v>
      </c>
      <c r="E243" s="5" t="s">
        <v>395</v>
      </c>
      <c r="F243" s="2" t="s">
        <v>395</v>
      </c>
      <c r="G243" s="6"/>
      <c r="H243" s="5" t="s">
        <v>194</v>
      </c>
      <c r="I243" s="7">
        <v>45838</v>
      </c>
      <c r="J243" s="6" t="s">
        <v>56</v>
      </c>
      <c r="K243" s="6" t="s">
        <v>33</v>
      </c>
      <c r="L243" s="25" t="s">
        <v>2475</v>
      </c>
      <c r="M243" s="25"/>
      <c r="N243" s="56"/>
    </row>
    <row r="244" spans="1:14" s="6" customFormat="1" hidden="1" x14ac:dyDescent="0.35">
      <c r="A244" s="5" t="s">
        <v>971</v>
      </c>
      <c r="B244" s="5" t="s">
        <v>972</v>
      </c>
      <c r="C244" s="5" t="s">
        <v>973</v>
      </c>
      <c r="D244" s="5" t="s">
        <v>241</v>
      </c>
      <c r="E244" s="5" t="s">
        <v>241</v>
      </c>
      <c r="F244" s="5" t="s">
        <v>241</v>
      </c>
      <c r="G244" s="5" t="s">
        <v>468</v>
      </c>
      <c r="H244" s="5" t="s">
        <v>974</v>
      </c>
      <c r="I244" s="7">
        <v>45834</v>
      </c>
      <c r="J244" s="5"/>
      <c r="L244" s="5" t="s">
        <v>2474</v>
      </c>
      <c r="N244" s="55"/>
    </row>
    <row r="245" spans="1:14" s="6" customFormat="1" hidden="1" x14ac:dyDescent="0.35">
      <c r="A245" s="5" t="s">
        <v>975</v>
      </c>
      <c r="B245" s="5" t="s">
        <v>976</v>
      </c>
      <c r="C245" s="5" t="s">
        <v>977</v>
      </c>
      <c r="D245" s="5" t="s">
        <v>241</v>
      </c>
      <c r="E245" s="5" t="s">
        <v>241</v>
      </c>
      <c r="F245" s="5" t="s">
        <v>241</v>
      </c>
      <c r="G245" s="5" t="s">
        <v>702</v>
      </c>
      <c r="H245" s="5" t="s">
        <v>869</v>
      </c>
      <c r="I245" s="7">
        <v>45834</v>
      </c>
      <c r="J245" s="5"/>
      <c r="L245" s="5" t="s">
        <v>2474</v>
      </c>
      <c r="M245" s="6" t="s">
        <v>2477</v>
      </c>
      <c r="N245" s="55"/>
    </row>
    <row r="246" spans="1:14" s="6" customFormat="1" hidden="1" x14ac:dyDescent="0.35">
      <c r="A246" s="5" t="s">
        <v>978</v>
      </c>
      <c r="B246" s="5" t="s">
        <v>979</v>
      </c>
      <c r="C246" s="5" t="s">
        <v>980</v>
      </c>
      <c r="D246" s="5" t="s">
        <v>241</v>
      </c>
      <c r="E246" s="5" t="s">
        <v>241</v>
      </c>
      <c r="F246" s="5" t="s">
        <v>241</v>
      </c>
      <c r="G246" s="5" t="s">
        <v>468</v>
      </c>
      <c r="H246" s="5" t="s">
        <v>981</v>
      </c>
      <c r="I246" s="7">
        <v>45838</v>
      </c>
      <c r="J246" s="5"/>
      <c r="L246" s="5" t="s">
        <v>2474</v>
      </c>
      <c r="N246" s="55"/>
    </row>
    <row r="247" spans="1:14" s="1" customFormat="1" hidden="1" x14ac:dyDescent="0.35">
      <c r="A247" s="5" t="s">
        <v>982</v>
      </c>
      <c r="B247" s="5" t="s">
        <v>983</v>
      </c>
      <c r="C247" s="5" t="s">
        <v>984</v>
      </c>
      <c r="D247" s="5" t="s">
        <v>29</v>
      </c>
      <c r="E247" s="5" t="s">
        <v>395</v>
      </c>
      <c r="F247" s="2" t="s">
        <v>395</v>
      </c>
      <c r="G247" s="6"/>
      <c r="H247" s="5" t="s">
        <v>563</v>
      </c>
      <c r="I247" s="7">
        <v>45838</v>
      </c>
      <c r="J247" s="6" t="s">
        <v>2779</v>
      </c>
      <c r="K247" s="6" t="s">
        <v>33</v>
      </c>
      <c r="L247" s="25" t="s">
        <v>2475</v>
      </c>
      <c r="M247" s="25"/>
      <c r="N247" s="56"/>
    </row>
    <row r="248" spans="1:14" s="1" customFormat="1" hidden="1" x14ac:dyDescent="0.35">
      <c r="A248" s="5" t="s">
        <v>985</v>
      </c>
      <c r="B248" s="5" t="s">
        <v>986</v>
      </c>
      <c r="C248" s="5" t="s">
        <v>987</v>
      </c>
      <c r="D248" s="5" t="s">
        <v>29</v>
      </c>
      <c r="E248" s="5" t="s">
        <v>395</v>
      </c>
      <c r="F248" s="2" t="s">
        <v>395</v>
      </c>
      <c r="G248" s="6"/>
      <c r="H248" s="5" t="s">
        <v>988</v>
      </c>
      <c r="I248" s="7">
        <v>45838</v>
      </c>
      <c r="J248" s="6" t="s">
        <v>2685</v>
      </c>
      <c r="K248" s="6" t="s">
        <v>33</v>
      </c>
      <c r="L248" s="25" t="s">
        <v>2475</v>
      </c>
      <c r="M248" s="25"/>
      <c r="N248" s="56"/>
    </row>
    <row r="249" spans="1:14" s="6" customFormat="1" hidden="1" x14ac:dyDescent="0.35">
      <c r="A249" s="5" t="s">
        <v>989</v>
      </c>
      <c r="B249" s="5" t="s">
        <v>990</v>
      </c>
      <c r="C249" s="5" t="s">
        <v>991</v>
      </c>
      <c r="D249" s="5" t="s">
        <v>241</v>
      </c>
      <c r="E249" s="5" t="s">
        <v>241</v>
      </c>
      <c r="F249" s="5" t="s">
        <v>241</v>
      </c>
      <c r="G249" s="5" t="s">
        <v>702</v>
      </c>
      <c r="H249" s="5" t="s">
        <v>221</v>
      </c>
      <c r="I249" s="7">
        <v>45839</v>
      </c>
      <c r="J249" s="5"/>
      <c r="L249" s="5" t="s">
        <v>2474</v>
      </c>
      <c r="N249" s="55"/>
    </row>
    <row r="250" spans="1:14" s="6" customFormat="1" hidden="1" x14ac:dyDescent="0.35">
      <c r="A250" s="5" t="s">
        <v>992</v>
      </c>
      <c r="B250" s="5" t="s">
        <v>993</v>
      </c>
      <c r="C250" s="5" t="s">
        <v>994</v>
      </c>
      <c r="D250" s="5" t="s">
        <v>241</v>
      </c>
      <c r="E250" s="5" t="s">
        <v>241</v>
      </c>
      <c r="F250" s="5" t="s">
        <v>241</v>
      </c>
      <c r="G250" s="5" t="s">
        <v>702</v>
      </c>
      <c r="H250" s="5" t="s">
        <v>221</v>
      </c>
      <c r="I250" s="7">
        <v>45839</v>
      </c>
      <c r="J250" s="5"/>
      <c r="L250" s="5" t="s">
        <v>2474</v>
      </c>
      <c r="N250" s="55"/>
    </row>
    <row r="251" spans="1:14" s="6" customFormat="1" hidden="1" x14ac:dyDescent="0.35">
      <c r="A251" s="5" t="s">
        <v>995</v>
      </c>
      <c r="B251" s="5" t="s">
        <v>996</v>
      </c>
      <c r="C251" s="5" t="s">
        <v>997</v>
      </c>
      <c r="D251" s="5" t="s">
        <v>241</v>
      </c>
      <c r="E251" s="5" t="s">
        <v>241</v>
      </c>
      <c r="F251" s="5" t="s">
        <v>241</v>
      </c>
      <c r="G251" s="5" t="s">
        <v>39</v>
      </c>
      <c r="H251" s="5" t="s">
        <v>876</v>
      </c>
      <c r="I251" s="7">
        <v>45852</v>
      </c>
      <c r="J251" s="5"/>
      <c r="L251" s="5" t="s">
        <v>2474</v>
      </c>
      <c r="N251" s="55"/>
    </row>
    <row r="252" spans="1:14" s="6" customFormat="1" hidden="1" x14ac:dyDescent="0.35">
      <c r="A252" s="5" t="s">
        <v>998</v>
      </c>
      <c r="B252" s="5" t="s">
        <v>999</v>
      </c>
      <c r="C252" s="5" t="s">
        <v>1000</v>
      </c>
      <c r="D252" s="5" t="s">
        <v>241</v>
      </c>
      <c r="E252" s="5" t="s">
        <v>241</v>
      </c>
      <c r="F252" s="5" t="s">
        <v>241</v>
      </c>
      <c r="G252" s="5" t="s">
        <v>39</v>
      </c>
      <c r="H252" s="5" t="s">
        <v>892</v>
      </c>
      <c r="I252" s="7">
        <v>45852</v>
      </c>
      <c r="J252" s="5"/>
      <c r="L252" s="5" t="s">
        <v>2474</v>
      </c>
      <c r="N252" s="55"/>
    </row>
    <row r="253" spans="1:14" s="6" customFormat="1" hidden="1" x14ac:dyDescent="0.35">
      <c r="A253" s="5" t="s">
        <v>1001</v>
      </c>
      <c r="B253" s="5" t="s">
        <v>1002</v>
      </c>
      <c r="C253" s="5" t="s">
        <v>1003</v>
      </c>
      <c r="D253" s="5" t="s">
        <v>241</v>
      </c>
      <c r="E253" s="5" t="s">
        <v>241</v>
      </c>
      <c r="F253" s="5" t="s">
        <v>241</v>
      </c>
      <c r="G253" s="5" t="s">
        <v>138</v>
      </c>
      <c r="H253" s="5" t="s">
        <v>1004</v>
      </c>
      <c r="I253" s="7">
        <v>45852</v>
      </c>
      <c r="J253" s="5"/>
      <c r="L253" s="5" t="s">
        <v>2474</v>
      </c>
      <c r="M253" s="6" t="s">
        <v>2477</v>
      </c>
      <c r="N253" s="55"/>
    </row>
    <row r="254" spans="1:14" s="6" customFormat="1" hidden="1" x14ac:dyDescent="0.35">
      <c r="A254" s="5" t="s">
        <v>1005</v>
      </c>
      <c r="B254" s="5" t="s">
        <v>1006</v>
      </c>
      <c r="C254" s="5" t="s">
        <v>1007</v>
      </c>
      <c r="D254" s="5" t="s">
        <v>241</v>
      </c>
      <c r="E254" s="5" t="s">
        <v>241</v>
      </c>
      <c r="F254" s="5" t="s">
        <v>241</v>
      </c>
      <c r="G254" s="5" t="s">
        <v>702</v>
      </c>
      <c r="H254" s="5" t="s">
        <v>221</v>
      </c>
      <c r="I254" s="7">
        <v>45852</v>
      </c>
      <c r="J254" s="5"/>
      <c r="L254" s="5" t="s">
        <v>2474</v>
      </c>
      <c r="N254" s="55"/>
    </row>
    <row r="255" spans="1:14" s="6" customFormat="1" hidden="1" x14ac:dyDescent="0.35">
      <c r="A255" s="5" t="s">
        <v>1008</v>
      </c>
      <c r="B255" s="5" t="s">
        <v>1009</v>
      </c>
      <c r="C255" s="5" t="s">
        <v>1010</v>
      </c>
      <c r="D255" s="5" t="s">
        <v>241</v>
      </c>
      <c r="E255" s="5" t="s">
        <v>241</v>
      </c>
      <c r="F255" s="5" t="s">
        <v>241</v>
      </c>
      <c r="G255" s="5" t="s">
        <v>702</v>
      </c>
      <c r="H255" s="5" t="s">
        <v>1011</v>
      </c>
      <c r="I255" s="7">
        <v>45852</v>
      </c>
      <c r="J255" s="5"/>
      <c r="L255" s="5" t="s">
        <v>2474</v>
      </c>
      <c r="N255" s="55"/>
    </row>
    <row r="256" spans="1:14" s="6" customFormat="1" hidden="1" x14ac:dyDescent="0.35">
      <c r="A256" s="5" t="s">
        <v>1012</v>
      </c>
      <c r="B256" s="5" t="s">
        <v>1013</v>
      </c>
      <c r="C256" s="5" t="s">
        <v>1014</v>
      </c>
      <c r="D256" s="5" t="s">
        <v>241</v>
      </c>
      <c r="E256" s="5" t="s">
        <v>241</v>
      </c>
      <c r="F256" s="5" t="s">
        <v>241</v>
      </c>
      <c r="G256" s="5" t="s">
        <v>282</v>
      </c>
      <c r="H256" s="5" t="s">
        <v>1015</v>
      </c>
      <c r="I256" s="7">
        <v>45842</v>
      </c>
      <c r="J256" s="5"/>
      <c r="L256" s="5" t="s">
        <v>2474</v>
      </c>
      <c r="N256" s="55"/>
    </row>
    <row r="257" spans="1:14" s="1" customFormat="1" hidden="1" x14ac:dyDescent="0.35">
      <c r="A257" s="5" t="s">
        <v>1016</v>
      </c>
      <c r="B257" s="2" t="s">
        <v>1017</v>
      </c>
      <c r="C257" s="2" t="s">
        <v>1018</v>
      </c>
      <c r="D257" s="2" t="s">
        <v>20</v>
      </c>
      <c r="E257" s="2" t="s">
        <v>20</v>
      </c>
      <c r="F257" s="2" t="s">
        <v>20</v>
      </c>
      <c r="G257" s="2" t="s">
        <v>409</v>
      </c>
      <c r="H257" s="2" t="s">
        <v>413</v>
      </c>
      <c r="I257" s="24">
        <v>45859</v>
      </c>
      <c r="J257" s="2"/>
      <c r="K257" s="25"/>
      <c r="L257" s="2" t="s">
        <v>2473</v>
      </c>
      <c r="M257" s="25"/>
      <c r="N257" s="56"/>
    </row>
    <row r="258" spans="1:14" s="1" customFormat="1" hidden="1" x14ac:dyDescent="0.35">
      <c r="A258" s="5" t="s">
        <v>1019</v>
      </c>
      <c r="B258" s="2" t="s">
        <v>1020</v>
      </c>
      <c r="C258" s="2" t="s">
        <v>1021</v>
      </c>
      <c r="D258" s="2" t="s">
        <v>20</v>
      </c>
      <c r="E258" s="2" t="s">
        <v>20</v>
      </c>
      <c r="F258" s="2" t="s">
        <v>20</v>
      </c>
      <c r="G258" s="2" t="s">
        <v>157</v>
      </c>
      <c r="H258" s="2" t="s">
        <v>1022</v>
      </c>
      <c r="I258" s="24">
        <v>45859</v>
      </c>
      <c r="J258" s="2"/>
      <c r="K258" s="25"/>
      <c r="L258" s="2" t="s">
        <v>2473</v>
      </c>
      <c r="M258" s="25"/>
      <c r="N258" s="56"/>
    </row>
    <row r="259" spans="1:14" s="6" customFormat="1" hidden="1" x14ac:dyDescent="0.35">
      <c r="A259" s="5" t="s">
        <v>1023</v>
      </c>
      <c r="B259" s="5" t="s">
        <v>1024</v>
      </c>
      <c r="C259" s="5" t="s">
        <v>1025</v>
      </c>
      <c r="D259" s="5" t="s">
        <v>241</v>
      </c>
      <c r="E259" s="5" t="s">
        <v>241</v>
      </c>
      <c r="F259" s="5" t="s">
        <v>241</v>
      </c>
      <c r="G259" s="5" t="s">
        <v>1026</v>
      </c>
      <c r="H259" s="5" t="s">
        <v>1027</v>
      </c>
      <c r="I259" s="7">
        <v>45848</v>
      </c>
      <c r="J259" s="5"/>
      <c r="L259" s="5" t="s">
        <v>2474</v>
      </c>
      <c r="N259" s="55"/>
    </row>
    <row r="260" spans="1:14" s="6" customFormat="1" hidden="1" x14ac:dyDescent="0.35">
      <c r="A260" s="5" t="s">
        <v>1028</v>
      </c>
      <c r="B260" s="5" t="s">
        <v>1029</v>
      </c>
      <c r="C260" s="5" t="s">
        <v>1030</v>
      </c>
      <c r="D260" s="5" t="s">
        <v>241</v>
      </c>
      <c r="E260" s="5" t="s">
        <v>241</v>
      </c>
      <c r="F260" s="5" t="s">
        <v>241</v>
      </c>
      <c r="G260" s="5" t="s">
        <v>138</v>
      </c>
      <c r="H260" s="5" t="s">
        <v>221</v>
      </c>
      <c r="I260" s="7">
        <v>45866</v>
      </c>
      <c r="J260" s="5"/>
      <c r="L260" s="5" t="s">
        <v>2474</v>
      </c>
      <c r="N260" s="55"/>
    </row>
    <row r="261" spans="1:14" s="6" customFormat="1" hidden="1" x14ac:dyDescent="0.35">
      <c r="A261" s="5" t="s">
        <v>1031</v>
      </c>
      <c r="B261" s="5" t="s">
        <v>1032</v>
      </c>
      <c r="C261" s="5" t="s">
        <v>1033</v>
      </c>
      <c r="D261" s="5" t="s">
        <v>241</v>
      </c>
      <c r="E261" s="5" t="s">
        <v>241</v>
      </c>
      <c r="F261" s="5" t="s">
        <v>241</v>
      </c>
      <c r="G261" s="5" t="s">
        <v>702</v>
      </c>
      <c r="H261" s="5" t="s">
        <v>413</v>
      </c>
      <c r="I261" s="7">
        <v>45861</v>
      </c>
      <c r="J261" s="5"/>
      <c r="L261" s="5" t="s">
        <v>2474</v>
      </c>
      <c r="N261" s="55"/>
    </row>
    <row r="262" spans="1:14" s="6" customFormat="1" hidden="1" x14ac:dyDescent="0.35">
      <c r="A262" s="5" t="s">
        <v>1034</v>
      </c>
      <c r="B262" s="5" t="s">
        <v>1035</v>
      </c>
      <c r="C262" s="5" t="s">
        <v>1036</v>
      </c>
      <c r="D262" s="5" t="s">
        <v>241</v>
      </c>
      <c r="E262" s="5" t="s">
        <v>241</v>
      </c>
      <c r="F262" s="5" t="s">
        <v>241</v>
      </c>
      <c r="G262" s="5" t="s">
        <v>702</v>
      </c>
      <c r="H262" s="5" t="s">
        <v>221</v>
      </c>
      <c r="I262" s="7">
        <v>45862</v>
      </c>
      <c r="J262" s="5"/>
      <c r="L262" s="5" t="s">
        <v>2474</v>
      </c>
      <c r="N262" s="55"/>
    </row>
    <row r="263" spans="1:14" s="1" customFormat="1" hidden="1" x14ac:dyDescent="0.35">
      <c r="A263" s="5" t="s">
        <v>108</v>
      </c>
      <c r="B263" s="2" t="s">
        <v>107</v>
      </c>
      <c r="C263" s="2" t="s">
        <v>1037</v>
      </c>
      <c r="D263" s="2" t="s">
        <v>50</v>
      </c>
      <c r="E263" s="26" t="s">
        <v>2476</v>
      </c>
      <c r="F263" s="2" t="s">
        <v>101</v>
      </c>
      <c r="G263" s="2"/>
      <c r="H263" s="2" t="s">
        <v>1038</v>
      </c>
      <c r="I263" s="24">
        <v>45873</v>
      </c>
      <c r="J263" s="2"/>
      <c r="K263" s="25"/>
      <c r="L263" s="2" t="s">
        <v>2473</v>
      </c>
      <c r="M263" s="25"/>
      <c r="N263" s="56"/>
    </row>
    <row r="264" spans="1:14" s="6" customFormat="1" hidden="1" x14ac:dyDescent="0.35">
      <c r="A264" s="5" t="s">
        <v>1039</v>
      </c>
      <c r="B264" s="5" t="s">
        <v>1040</v>
      </c>
      <c r="C264" s="5" t="s">
        <v>1041</v>
      </c>
      <c r="D264" s="5" t="s">
        <v>241</v>
      </c>
      <c r="E264" s="5" t="s">
        <v>241</v>
      </c>
      <c r="F264" s="5" t="s">
        <v>241</v>
      </c>
      <c r="G264" s="5" t="s">
        <v>138</v>
      </c>
      <c r="H264" s="5" t="s">
        <v>1042</v>
      </c>
      <c r="I264" s="7">
        <v>45873</v>
      </c>
      <c r="J264" s="5"/>
      <c r="L264" s="5" t="s">
        <v>2474</v>
      </c>
      <c r="N264" s="55"/>
    </row>
    <row r="265" spans="1:14" s="1" customFormat="1" hidden="1" x14ac:dyDescent="0.35">
      <c r="A265" s="5" t="s">
        <v>1043</v>
      </c>
      <c r="B265" s="2" t="s">
        <v>1044</v>
      </c>
      <c r="C265" s="2" t="s">
        <v>1045</v>
      </c>
      <c r="D265" s="2" t="s">
        <v>20</v>
      </c>
      <c r="E265" s="2" t="s">
        <v>20</v>
      </c>
      <c r="F265" s="2" t="s">
        <v>20</v>
      </c>
      <c r="G265" s="2" t="s">
        <v>165</v>
      </c>
      <c r="H265" s="2" t="s">
        <v>216</v>
      </c>
      <c r="I265" s="24">
        <v>45880</v>
      </c>
      <c r="J265" s="2"/>
      <c r="K265" s="25"/>
      <c r="L265" s="2" t="s">
        <v>2473</v>
      </c>
      <c r="M265" s="25"/>
      <c r="N265" s="56"/>
    </row>
    <row r="266" spans="1:14" s="1" customFormat="1" hidden="1" x14ac:dyDescent="0.35">
      <c r="A266" s="5" t="s">
        <v>1046</v>
      </c>
      <c r="B266" s="5" t="s">
        <v>1047</v>
      </c>
      <c r="C266" s="5" t="s">
        <v>1048</v>
      </c>
      <c r="D266" s="5" t="s">
        <v>29</v>
      </c>
      <c r="E266" s="5" t="s">
        <v>395</v>
      </c>
      <c r="F266" s="2" t="s">
        <v>395</v>
      </c>
      <c r="G266" s="6"/>
      <c r="H266" s="5" t="s">
        <v>1049</v>
      </c>
      <c r="I266" s="7">
        <v>45881</v>
      </c>
      <c r="J266" s="6" t="s">
        <v>56</v>
      </c>
      <c r="K266" s="6" t="s">
        <v>33</v>
      </c>
      <c r="L266" s="25" t="s">
        <v>2475</v>
      </c>
      <c r="M266" s="25"/>
      <c r="N266" s="56"/>
    </row>
    <row r="267" spans="1:14" s="6" customFormat="1" hidden="1" x14ac:dyDescent="0.35">
      <c r="A267" s="5" t="s">
        <v>1050</v>
      </c>
      <c r="B267" s="5" t="s">
        <v>1051</v>
      </c>
      <c r="C267" s="5" t="s">
        <v>1052</v>
      </c>
      <c r="D267" s="5" t="s">
        <v>241</v>
      </c>
      <c r="E267" s="5" t="s">
        <v>241</v>
      </c>
      <c r="F267" s="5" t="s">
        <v>241</v>
      </c>
      <c r="G267" s="5" t="s">
        <v>39</v>
      </c>
      <c r="H267" s="5" t="s">
        <v>1053</v>
      </c>
      <c r="I267" s="7">
        <v>45881</v>
      </c>
      <c r="J267" s="5"/>
      <c r="L267" s="5" t="s">
        <v>2474</v>
      </c>
      <c r="N267" s="55"/>
    </row>
    <row r="268" spans="1:14" s="1" customFormat="1" hidden="1" x14ac:dyDescent="0.35">
      <c r="A268" s="5" t="s">
        <v>1054</v>
      </c>
      <c r="B268" s="2" t="s">
        <v>1055</v>
      </c>
      <c r="C268" s="2" t="s">
        <v>1056</v>
      </c>
      <c r="D268" s="2" t="s">
        <v>20</v>
      </c>
      <c r="E268" s="2" t="s">
        <v>20</v>
      </c>
      <c r="F268" s="2" t="s">
        <v>20</v>
      </c>
      <c r="G268" s="2" t="s">
        <v>157</v>
      </c>
      <c r="H268" s="2" t="s">
        <v>1057</v>
      </c>
      <c r="I268" s="24">
        <v>45887</v>
      </c>
      <c r="J268" s="2"/>
      <c r="K268" s="25"/>
      <c r="L268" s="2" t="s">
        <v>2473</v>
      </c>
      <c r="M268" s="25"/>
      <c r="N268" s="56"/>
    </row>
    <row r="269" spans="1:14" s="6" customFormat="1" hidden="1" x14ac:dyDescent="0.35">
      <c r="A269" s="5" t="s">
        <v>1058</v>
      </c>
      <c r="B269" s="5" t="s">
        <v>1059</v>
      </c>
      <c r="C269" s="5" t="s">
        <v>1060</v>
      </c>
      <c r="D269" s="5" t="s">
        <v>241</v>
      </c>
      <c r="E269" s="5" t="s">
        <v>241</v>
      </c>
      <c r="F269" s="5" t="s">
        <v>241</v>
      </c>
      <c r="G269" s="5" t="s">
        <v>39</v>
      </c>
      <c r="H269" s="5" t="s">
        <v>1061</v>
      </c>
      <c r="I269" s="7">
        <v>45894</v>
      </c>
      <c r="J269" s="5"/>
      <c r="L269" s="5" t="s">
        <v>2474</v>
      </c>
      <c r="N269" s="55"/>
    </row>
    <row r="270" spans="1:14" s="1" customFormat="1" hidden="1" x14ac:dyDescent="0.35">
      <c r="A270" s="5" t="s">
        <v>1062</v>
      </c>
      <c r="B270" s="5" t="s">
        <v>1063</v>
      </c>
      <c r="C270" s="5" t="s">
        <v>1064</v>
      </c>
      <c r="D270" s="5" t="s">
        <v>29</v>
      </c>
      <c r="E270" s="5" t="s">
        <v>395</v>
      </c>
      <c r="F270" s="2" t="s">
        <v>395</v>
      </c>
      <c r="G270" s="6"/>
      <c r="H270" s="5" t="s">
        <v>1049</v>
      </c>
      <c r="I270" s="7">
        <v>45887</v>
      </c>
      <c r="J270" s="6" t="s">
        <v>56</v>
      </c>
      <c r="K270" s="6" t="s">
        <v>33</v>
      </c>
      <c r="L270" s="25" t="s">
        <v>2475</v>
      </c>
      <c r="M270" s="25"/>
      <c r="N270" s="56"/>
    </row>
    <row r="271" spans="1:14" s="1" customFormat="1" hidden="1" x14ac:dyDescent="0.35">
      <c r="A271" s="5" t="s">
        <v>1065</v>
      </c>
      <c r="B271" s="5" t="s">
        <v>1066</v>
      </c>
      <c r="C271" s="5" t="s">
        <v>1067</v>
      </c>
      <c r="D271" s="5" t="s">
        <v>29</v>
      </c>
      <c r="E271" s="5" t="s">
        <v>395</v>
      </c>
      <c r="F271" s="2" t="s">
        <v>395</v>
      </c>
      <c r="G271" s="6"/>
      <c r="H271" s="5" t="s">
        <v>1068</v>
      </c>
      <c r="I271" s="7">
        <v>45887</v>
      </c>
      <c r="J271" s="6" t="s">
        <v>76</v>
      </c>
      <c r="K271" s="6" t="s">
        <v>33</v>
      </c>
      <c r="L271" s="25" t="s">
        <v>2475</v>
      </c>
      <c r="M271" s="25"/>
      <c r="N271" s="56"/>
    </row>
    <row r="272" spans="1:14" s="6" customFormat="1" hidden="1" x14ac:dyDescent="0.35">
      <c r="A272" s="5" t="s">
        <v>1069</v>
      </c>
      <c r="B272" s="5" t="s">
        <v>1070</v>
      </c>
      <c r="C272" s="5" t="s">
        <v>1071</v>
      </c>
      <c r="D272" s="5" t="s">
        <v>241</v>
      </c>
      <c r="E272" s="5" t="s">
        <v>241</v>
      </c>
      <c r="F272" s="5" t="s">
        <v>241</v>
      </c>
      <c r="G272" s="5" t="s">
        <v>138</v>
      </c>
      <c r="H272" s="5" t="s">
        <v>1072</v>
      </c>
      <c r="I272" s="7">
        <v>45887</v>
      </c>
      <c r="J272" s="5"/>
      <c r="L272" s="5" t="s">
        <v>2474</v>
      </c>
      <c r="N272" s="55"/>
    </row>
    <row r="273" spans="1:14" s="1" customFormat="1" hidden="1" x14ac:dyDescent="0.35">
      <c r="A273" s="5" t="s">
        <v>1073</v>
      </c>
      <c r="B273" s="2" t="s">
        <v>1074</v>
      </c>
      <c r="C273" s="2" t="s">
        <v>1075</v>
      </c>
      <c r="D273" s="2" t="s">
        <v>20</v>
      </c>
      <c r="E273" s="2" t="s">
        <v>20</v>
      </c>
      <c r="F273" s="2" t="s">
        <v>20</v>
      </c>
      <c r="G273" s="2" t="s">
        <v>165</v>
      </c>
      <c r="H273" s="2" t="s">
        <v>175</v>
      </c>
      <c r="I273" s="24">
        <v>45894</v>
      </c>
      <c r="J273" s="2"/>
      <c r="K273" s="25"/>
      <c r="L273" s="2" t="s">
        <v>2473</v>
      </c>
      <c r="M273" s="25"/>
      <c r="N273" s="56"/>
    </row>
    <row r="274" spans="1:14" s="6" customFormat="1" hidden="1" x14ac:dyDescent="0.35">
      <c r="A274" s="5" t="s">
        <v>1076</v>
      </c>
      <c r="B274" s="5" t="s">
        <v>1077</v>
      </c>
      <c r="C274" s="5" t="s">
        <v>1078</v>
      </c>
      <c r="D274" s="5" t="s">
        <v>241</v>
      </c>
      <c r="E274" s="5" t="s">
        <v>241</v>
      </c>
      <c r="F274" s="5" t="s">
        <v>241</v>
      </c>
      <c r="G274" s="5" t="s">
        <v>76</v>
      </c>
      <c r="H274" s="5" t="s">
        <v>850</v>
      </c>
      <c r="I274" s="7">
        <v>45894</v>
      </c>
      <c r="J274" s="5"/>
      <c r="L274" s="5" t="s">
        <v>2474</v>
      </c>
      <c r="N274" s="55"/>
    </row>
    <row r="275" spans="1:14" s="6" customFormat="1" hidden="1" x14ac:dyDescent="0.35">
      <c r="A275" s="5" t="s">
        <v>1079</v>
      </c>
      <c r="B275" s="5" t="s">
        <v>1080</v>
      </c>
      <c r="C275" s="5" t="s">
        <v>1081</v>
      </c>
      <c r="D275" s="5" t="s">
        <v>241</v>
      </c>
      <c r="E275" s="5" t="s">
        <v>241</v>
      </c>
      <c r="F275" s="5" t="s">
        <v>241</v>
      </c>
      <c r="G275" s="5" t="s">
        <v>702</v>
      </c>
      <c r="H275" s="5" t="s">
        <v>1082</v>
      </c>
      <c r="I275" s="7">
        <v>45894</v>
      </c>
      <c r="J275" s="5"/>
      <c r="L275" s="5" t="s">
        <v>2474</v>
      </c>
      <c r="N275" s="55"/>
    </row>
    <row r="276" spans="1:14" s="1" customFormat="1" hidden="1" x14ac:dyDescent="0.35">
      <c r="A276" s="5" t="s">
        <v>1083</v>
      </c>
      <c r="B276" s="5" t="s">
        <v>1084</v>
      </c>
      <c r="C276" s="5" t="s">
        <v>1085</v>
      </c>
      <c r="D276" s="5" t="s">
        <v>29</v>
      </c>
      <c r="E276" s="5" t="s">
        <v>395</v>
      </c>
      <c r="F276" s="2" t="s">
        <v>395</v>
      </c>
      <c r="G276" s="6"/>
      <c r="H276" s="5" t="s">
        <v>1086</v>
      </c>
      <c r="I276" s="7">
        <v>45901</v>
      </c>
      <c r="J276" s="6" t="s">
        <v>76</v>
      </c>
      <c r="K276" s="6" t="s">
        <v>33</v>
      </c>
      <c r="L276" s="25" t="s">
        <v>2475</v>
      </c>
      <c r="M276" s="25"/>
      <c r="N276" s="56"/>
    </row>
    <row r="277" spans="1:14" s="1" customFormat="1" hidden="1" x14ac:dyDescent="0.35">
      <c r="A277" s="5" t="s">
        <v>1087</v>
      </c>
      <c r="B277" s="5" t="s">
        <v>1088</v>
      </c>
      <c r="C277" s="5" t="s">
        <v>1089</v>
      </c>
      <c r="D277" s="5" t="s">
        <v>29</v>
      </c>
      <c r="E277" s="5" t="s">
        <v>395</v>
      </c>
      <c r="F277" s="2" t="s">
        <v>395</v>
      </c>
      <c r="G277" s="6"/>
      <c r="H277" s="5" t="s">
        <v>194</v>
      </c>
      <c r="I277" s="7">
        <v>45901</v>
      </c>
      <c r="J277" s="6" t="s">
        <v>56</v>
      </c>
      <c r="K277" s="6" t="s">
        <v>33</v>
      </c>
      <c r="L277" s="25" t="s">
        <v>2475</v>
      </c>
      <c r="M277" s="25"/>
      <c r="N277" s="56"/>
    </row>
    <row r="278" spans="1:14" s="6" customFormat="1" hidden="1" x14ac:dyDescent="0.35">
      <c r="A278" s="5" t="s">
        <v>1090</v>
      </c>
      <c r="B278" s="5" t="s">
        <v>1091</v>
      </c>
      <c r="C278" s="5" t="s">
        <v>1092</v>
      </c>
      <c r="D278" s="5" t="s">
        <v>241</v>
      </c>
      <c r="E278" s="5" t="s">
        <v>241</v>
      </c>
      <c r="F278" s="5" t="s">
        <v>241</v>
      </c>
      <c r="G278" s="5" t="s">
        <v>138</v>
      </c>
      <c r="H278" s="5" t="s">
        <v>438</v>
      </c>
      <c r="I278" s="7">
        <v>45895</v>
      </c>
      <c r="J278" s="5"/>
      <c r="L278" s="5" t="s">
        <v>2474</v>
      </c>
      <c r="N278" s="55"/>
    </row>
    <row r="279" spans="1:14" s="6" customFormat="1" hidden="1" x14ac:dyDescent="0.35">
      <c r="A279" s="5" t="s">
        <v>1093</v>
      </c>
      <c r="B279" s="5" t="s">
        <v>1094</v>
      </c>
      <c r="C279" s="5" t="s">
        <v>1095</v>
      </c>
      <c r="D279" s="5" t="s">
        <v>241</v>
      </c>
      <c r="E279" s="5" t="s">
        <v>241</v>
      </c>
      <c r="F279" s="5" t="s">
        <v>241</v>
      </c>
      <c r="G279" s="5" t="s">
        <v>138</v>
      </c>
      <c r="H279" s="5" t="s">
        <v>1096</v>
      </c>
      <c r="I279" s="7">
        <v>45901</v>
      </c>
      <c r="J279" s="5"/>
      <c r="L279" s="5" t="s">
        <v>2474</v>
      </c>
      <c r="N279" s="55"/>
    </row>
    <row r="280" spans="1:14" s="6" customFormat="1" hidden="1" x14ac:dyDescent="0.35">
      <c r="A280" s="5" t="s">
        <v>1097</v>
      </c>
      <c r="B280" s="5" t="s">
        <v>1098</v>
      </c>
      <c r="C280" s="5" t="s">
        <v>1099</v>
      </c>
      <c r="D280" s="5" t="s">
        <v>241</v>
      </c>
      <c r="E280" s="5" t="s">
        <v>241</v>
      </c>
      <c r="F280" s="5" t="s">
        <v>241</v>
      </c>
      <c r="G280" s="5" t="s">
        <v>1352</v>
      </c>
      <c r="H280" s="5" t="s">
        <v>1100</v>
      </c>
      <c r="I280" s="7">
        <v>45905</v>
      </c>
      <c r="J280" s="5"/>
      <c r="L280" s="5" t="s">
        <v>2474</v>
      </c>
      <c r="N280" s="55"/>
    </row>
    <row r="281" spans="1:14" s="6" customFormat="1" hidden="1" x14ac:dyDescent="0.35">
      <c r="A281" s="5" t="s">
        <v>1101</v>
      </c>
      <c r="B281" s="5" t="s">
        <v>1102</v>
      </c>
      <c r="C281" s="5" t="s">
        <v>1103</v>
      </c>
      <c r="D281" s="5" t="s">
        <v>241</v>
      </c>
      <c r="E281" s="5" t="s">
        <v>241</v>
      </c>
      <c r="F281" s="5" t="s">
        <v>241</v>
      </c>
      <c r="G281" s="5" t="s">
        <v>702</v>
      </c>
      <c r="H281" s="5" t="s">
        <v>1104</v>
      </c>
      <c r="I281" s="7">
        <v>45908</v>
      </c>
      <c r="J281" s="5"/>
      <c r="L281" s="5" t="s">
        <v>2474</v>
      </c>
      <c r="N281" s="55"/>
    </row>
    <row r="282" spans="1:14" s="6" customFormat="1" hidden="1" x14ac:dyDescent="0.35">
      <c r="A282" s="5" t="s">
        <v>1105</v>
      </c>
      <c r="B282" s="5" t="s">
        <v>1106</v>
      </c>
      <c r="C282" s="5" t="s">
        <v>1107</v>
      </c>
      <c r="D282" s="5" t="s">
        <v>241</v>
      </c>
      <c r="E282" s="5" t="s">
        <v>241</v>
      </c>
      <c r="F282" s="5" t="s">
        <v>241</v>
      </c>
      <c r="G282" s="5" t="s">
        <v>659</v>
      </c>
      <c r="H282" s="5" t="s">
        <v>1108</v>
      </c>
      <c r="I282" s="7">
        <v>45910</v>
      </c>
      <c r="J282" s="5"/>
      <c r="L282" s="5" t="s">
        <v>2474</v>
      </c>
      <c r="N282" s="55"/>
    </row>
    <row r="283" spans="1:14" s="6" customFormat="1" hidden="1" x14ac:dyDescent="0.35">
      <c r="A283" s="5" t="s">
        <v>1109</v>
      </c>
      <c r="B283" s="5" t="s">
        <v>1110</v>
      </c>
      <c r="C283" s="5" t="s">
        <v>1111</v>
      </c>
      <c r="D283" s="5" t="s">
        <v>241</v>
      </c>
      <c r="E283" s="5" t="s">
        <v>241</v>
      </c>
      <c r="F283" s="5" t="s">
        <v>241</v>
      </c>
      <c r="G283" s="5" t="s">
        <v>702</v>
      </c>
      <c r="H283" s="5" t="s">
        <v>1112</v>
      </c>
      <c r="I283" s="7">
        <v>45902</v>
      </c>
      <c r="J283" s="5"/>
      <c r="L283" s="5" t="s">
        <v>2474</v>
      </c>
      <c r="N283" s="55"/>
    </row>
    <row r="284" spans="1:14" s="1" customFormat="1" hidden="1" x14ac:dyDescent="0.35">
      <c r="A284" s="5" t="s">
        <v>1113</v>
      </c>
      <c r="B284" s="5" t="s">
        <v>1114</v>
      </c>
      <c r="C284" s="5" t="s">
        <v>1115</v>
      </c>
      <c r="D284" s="5" t="s">
        <v>29</v>
      </c>
      <c r="E284" s="5" t="s">
        <v>395</v>
      </c>
      <c r="F284" s="2" t="s">
        <v>395</v>
      </c>
      <c r="G284" s="6"/>
      <c r="H284" s="5" t="s">
        <v>1116</v>
      </c>
      <c r="I284" s="7">
        <v>45922</v>
      </c>
      <c r="J284" s="6" t="s">
        <v>807</v>
      </c>
      <c r="K284" s="6" t="s">
        <v>33</v>
      </c>
      <c r="L284" s="25" t="s">
        <v>2475</v>
      </c>
      <c r="M284" s="25"/>
      <c r="N284" s="56"/>
    </row>
    <row r="285" spans="1:14" s="1" customFormat="1" hidden="1" x14ac:dyDescent="0.35">
      <c r="A285" s="5" t="s">
        <v>1119</v>
      </c>
      <c r="B285" s="5" t="s">
        <v>1120</v>
      </c>
      <c r="C285" s="5" t="s">
        <v>1121</v>
      </c>
      <c r="D285" s="5" t="s">
        <v>29</v>
      </c>
      <c r="E285" s="5" t="s">
        <v>395</v>
      </c>
      <c r="F285" s="2" t="s">
        <v>395</v>
      </c>
      <c r="G285" s="6"/>
      <c r="H285" s="5" t="s">
        <v>1116</v>
      </c>
      <c r="I285" s="7">
        <v>45917</v>
      </c>
      <c r="J285" s="6" t="s">
        <v>807</v>
      </c>
      <c r="K285" s="6" t="s">
        <v>33</v>
      </c>
      <c r="L285" s="25" t="s">
        <v>2475</v>
      </c>
      <c r="M285" s="25"/>
      <c r="N285" s="56"/>
    </row>
    <row r="286" spans="1:14" s="1" customFormat="1" hidden="1" x14ac:dyDescent="0.35">
      <c r="A286" s="5" t="s">
        <v>1122</v>
      </c>
      <c r="B286" s="2" t="s">
        <v>1123</v>
      </c>
      <c r="C286" s="2" t="s">
        <v>1124</v>
      </c>
      <c r="D286" s="2" t="s">
        <v>20</v>
      </c>
      <c r="E286" s="2" t="s">
        <v>20</v>
      </c>
      <c r="F286" s="2" t="s">
        <v>20</v>
      </c>
      <c r="G286" s="2" t="s">
        <v>907</v>
      </c>
      <c r="H286" s="2" t="s">
        <v>1125</v>
      </c>
      <c r="I286" s="24">
        <v>45922</v>
      </c>
      <c r="J286" s="2"/>
      <c r="K286" s="25"/>
      <c r="L286" s="2" t="s">
        <v>2473</v>
      </c>
      <c r="M286" s="25"/>
      <c r="N286" s="56"/>
    </row>
    <row r="287" spans="1:14" s="1" customFormat="1" hidden="1" x14ac:dyDescent="0.35">
      <c r="A287" s="5" t="s">
        <v>1126</v>
      </c>
      <c r="B287" s="2" t="s">
        <v>1127</v>
      </c>
      <c r="C287" s="2" t="s">
        <v>1128</v>
      </c>
      <c r="D287" s="2" t="s">
        <v>20</v>
      </c>
      <c r="E287" s="2" t="s">
        <v>20</v>
      </c>
      <c r="F287" s="2" t="s">
        <v>20</v>
      </c>
      <c r="G287" s="2" t="s">
        <v>907</v>
      </c>
      <c r="H287" s="2" t="s">
        <v>1129</v>
      </c>
      <c r="I287" s="24">
        <v>45929</v>
      </c>
      <c r="J287" s="2"/>
      <c r="K287" s="25"/>
      <c r="L287" s="2" t="s">
        <v>2473</v>
      </c>
      <c r="M287" s="25"/>
      <c r="N287" s="56"/>
    </row>
    <row r="288" spans="1:14" s="6" customFormat="1" hidden="1" x14ac:dyDescent="0.35">
      <c r="A288" s="5" t="s">
        <v>1130</v>
      </c>
      <c r="B288" s="5" t="s">
        <v>1131</v>
      </c>
      <c r="C288" s="5" t="s">
        <v>1132</v>
      </c>
      <c r="D288" s="5" t="s">
        <v>241</v>
      </c>
      <c r="E288" s="5" t="s">
        <v>241</v>
      </c>
      <c r="F288" s="5" t="s">
        <v>241</v>
      </c>
      <c r="G288" s="5" t="s">
        <v>827</v>
      </c>
      <c r="H288" s="5" t="s">
        <v>1061</v>
      </c>
      <c r="I288" s="7">
        <v>45923</v>
      </c>
      <c r="J288" s="5"/>
      <c r="L288" s="5" t="s">
        <v>2474</v>
      </c>
      <c r="N288" s="55"/>
    </row>
    <row r="289" spans="1:14" s="6" customFormat="1" hidden="1" x14ac:dyDescent="0.35">
      <c r="A289" s="5" t="s">
        <v>1133</v>
      </c>
      <c r="B289" s="5" t="s">
        <v>1134</v>
      </c>
      <c r="C289" s="5" t="s">
        <v>1135</v>
      </c>
      <c r="D289" s="5" t="s">
        <v>241</v>
      </c>
      <c r="E289" s="5" t="s">
        <v>241</v>
      </c>
      <c r="F289" s="5" t="s">
        <v>241</v>
      </c>
      <c r="G289" s="5" t="s">
        <v>138</v>
      </c>
      <c r="H289" s="5" t="s">
        <v>811</v>
      </c>
      <c r="I289" s="7">
        <v>45924</v>
      </c>
      <c r="J289" s="5"/>
      <c r="L289" s="5" t="s">
        <v>2474</v>
      </c>
      <c r="N289" s="55"/>
    </row>
    <row r="290" spans="1:14" s="6" customFormat="1" hidden="1" x14ac:dyDescent="0.35">
      <c r="A290" s="5" t="s">
        <v>1136</v>
      </c>
      <c r="B290" s="5" t="s">
        <v>1137</v>
      </c>
      <c r="C290" s="5" t="s">
        <v>1138</v>
      </c>
      <c r="D290" s="5" t="s">
        <v>241</v>
      </c>
      <c r="E290" s="5" t="s">
        <v>241</v>
      </c>
      <c r="F290" s="5" t="s">
        <v>241</v>
      </c>
      <c r="G290" s="5" t="s">
        <v>39</v>
      </c>
      <c r="H290" s="5" t="s">
        <v>892</v>
      </c>
      <c r="I290" s="7">
        <v>45929</v>
      </c>
      <c r="J290" s="5"/>
      <c r="L290" s="5" t="s">
        <v>2474</v>
      </c>
      <c r="N290" s="55"/>
    </row>
    <row r="291" spans="1:14" s="6" customFormat="1" hidden="1" x14ac:dyDescent="0.35">
      <c r="A291" s="5" t="s">
        <v>1139</v>
      </c>
      <c r="B291" s="5" t="s">
        <v>1140</v>
      </c>
      <c r="C291" s="5" t="s">
        <v>1141</v>
      </c>
      <c r="D291" s="5" t="s">
        <v>241</v>
      </c>
      <c r="E291" s="5" t="s">
        <v>241</v>
      </c>
      <c r="F291" s="5" t="s">
        <v>241</v>
      </c>
      <c r="G291" s="5" t="s">
        <v>39</v>
      </c>
      <c r="H291" s="5" t="s">
        <v>892</v>
      </c>
      <c r="I291" s="7">
        <v>45929</v>
      </c>
      <c r="J291" s="5"/>
      <c r="L291" s="5" t="s">
        <v>2474</v>
      </c>
      <c r="N291" s="55"/>
    </row>
    <row r="292" spans="1:14" s="1" customFormat="1" hidden="1" x14ac:dyDescent="0.35">
      <c r="A292" s="5" t="s">
        <v>1142</v>
      </c>
      <c r="B292" s="2" t="s">
        <v>1143</v>
      </c>
      <c r="C292" s="2" t="s">
        <v>1144</v>
      </c>
      <c r="D292" s="2" t="s">
        <v>20</v>
      </c>
      <c r="E292" s="2" t="s">
        <v>20</v>
      </c>
      <c r="F292" s="2" t="s">
        <v>20</v>
      </c>
      <c r="G292" s="2" t="s">
        <v>409</v>
      </c>
      <c r="H292" s="2" t="s">
        <v>413</v>
      </c>
      <c r="I292" s="24">
        <v>45943</v>
      </c>
      <c r="J292" s="2"/>
      <c r="K292" s="25"/>
      <c r="L292" s="2" t="s">
        <v>2473</v>
      </c>
      <c r="M292" s="25"/>
      <c r="N292" s="56"/>
    </row>
    <row r="293" spans="1:14" s="6" customFormat="1" hidden="1" x14ac:dyDescent="0.35">
      <c r="A293" s="5" t="s">
        <v>1145</v>
      </c>
      <c r="B293" s="5" t="s">
        <v>1146</v>
      </c>
      <c r="C293" s="5" t="s">
        <v>1147</v>
      </c>
      <c r="D293" s="5" t="s">
        <v>241</v>
      </c>
      <c r="E293" s="5" t="s">
        <v>241</v>
      </c>
      <c r="F293" s="5" t="s">
        <v>241</v>
      </c>
      <c r="G293" s="5" t="s">
        <v>39</v>
      </c>
      <c r="H293" s="5" t="s">
        <v>876</v>
      </c>
      <c r="I293" s="7">
        <v>45940</v>
      </c>
      <c r="J293" s="5"/>
      <c r="L293" s="5" t="s">
        <v>2474</v>
      </c>
      <c r="N293" s="55"/>
    </row>
    <row r="294" spans="1:14" s="6" customFormat="1" hidden="1" x14ac:dyDescent="0.35">
      <c r="A294" s="5" t="s">
        <v>1152</v>
      </c>
      <c r="B294" s="5" t="s">
        <v>1153</v>
      </c>
      <c r="C294" s="5" t="s">
        <v>1154</v>
      </c>
      <c r="D294" s="5" t="s">
        <v>241</v>
      </c>
      <c r="E294" s="5" t="s">
        <v>241</v>
      </c>
      <c r="F294" s="5" t="s">
        <v>241</v>
      </c>
      <c r="G294" s="5" t="s">
        <v>827</v>
      </c>
      <c r="H294" s="5" t="s">
        <v>1155</v>
      </c>
      <c r="I294" s="7">
        <v>45944</v>
      </c>
      <c r="J294" s="5"/>
      <c r="L294" s="5" t="s">
        <v>2474</v>
      </c>
      <c r="N294" s="55"/>
    </row>
    <row r="295" spans="1:14" s="6" customFormat="1" hidden="1" x14ac:dyDescent="0.35">
      <c r="A295" s="5" t="s">
        <v>1156</v>
      </c>
      <c r="B295" s="5" t="s">
        <v>1157</v>
      </c>
      <c r="C295" s="5" t="s">
        <v>1158</v>
      </c>
      <c r="D295" s="5" t="s">
        <v>241</v>
      </c>
      <c r="E295" s="5" t="s">
        <v>241</v>
      </c>
      <c r="F295" s="5" t="s">
        <v>241</v>
      </c>
      <c r="G295" s="5" t="s">
        <v>683</v>
      </c>
      <c r="H295" s="5" t="s">
        <v>1159</v>
      </c>
      <c r="I295" s="7">
        <v>45950</v>
      </c>
      <c r="J295" s="5"/>
      <c r="L295" s="5" t="s">
        <v>2474</v>
      </c>
      <c r="N295" s="55"/>
    </row>
    <row r="296" spans="1:14" s="1" customFormat="1" hidden="1" x14ac:dyDescent="0.35">
      <c r="A296" s="5" t="s">
        <v>1160</v>
      </c>
      <c r="B296" s="5" t="s">
        <v>1161</v>
      </c>
      <c r="C296" s="5" t="s">
        <v>1162</v>
      </c>
      <c r="D296" s="5" t="s">
        <v>29</v>
      </c>
      <c r="E296" s="5" t="s">
        <v>395</v>
      </c>
      <c r="F296" s="2" t="s">
        <v>395</v>
      </c>
      <c r="G296" s="5"/>
      <c r="H296" s="5" t="s">
        <v>1163</v>
      </c>
      <c r="I296" s="7">
        <v>45957</v>
      </c>
      <c r="J296" s="6" t="s">
        <v>620</v>
      </c>
      <c r="K296" s="6" t="s">
        <v>33</v>
      </c>
      <c r="L296" s="5" t="s">
        <v>2472</v>
      </c>
      <c r="M296" s="25"/>
      <c r="N296" s="56"/>
    </row>
    <row r="297" spans="1:14" s="1" customFormat="1" hidden="1" x14ac:dyDescent="0.35">
      <c r="A297" s="5" t="s">
        <v>1164</v>
      </c>
      <c r="B297" s="5" t="s">
        <v>1165</v>
      </c>
      <c r="C297" s="5" t="s">
        <v>1166</v>
      </c>
      <c r="D297" s="5" t="s">
        <v>29</v>
      </c>
      <c r="E297" s="5" t="s">
        <v>395</v>
      </c>
      <c r="F297" s="2" t="s">
        <v>395</v>
      </c>
      <c r="G297" s="5"/>
      <c r="H297" s="5" t="s">
        <v>1167</v>
      </c>
      <c r="I297" s="7">
        <v>45957</v>
      </c>
      <c r="J297" s="6" t="s">
        <v>620</v>
      </c>
      <c r="K297" s="6" t="s">
        <v>33</v>
      </c>
      <c r="L297" s="5" t="s">
        <v>2472</v>
      </c>
      <c r="M297" s="25"/>
      <c r="N297" s="56"/>
    </row>
    <row r="298" spans="1:14" s="6" customFormat="1" hidden="1" x14ac:dyDescent="0.35">
      <c r="A298" s="5" t="s">
        <v>1168</v>
      </c>
      <c r="B298" s="5" t="s">
        <v>1169</v>
      </c>
      <c r="C298" s="5" t="s">
        <v>1170</v>
      </c>
      <c r="D298" s="5" t="s">
        <v>241</v>
      </c>
      <c r="E298" s="5" t="s">
        <v>241</v>
      </c>
      <c r="F298" s="5" t="s">
        <v>241</v>
      </c>
      <c r="G298" s="5" t="s">
        <v>1171</v>
      </c>
      <c r="H298" s="5" t="s">
        <v>1172</v>
      </c>
      <c r="I298" s="7">
        <v>45961</v>
      </c>
      <c r="J298" s="5"/>
      <c r="L298" s="5" t="s">
        <v>2474</v>
      </c>
      <c r="N298" s="55"/>
    </row>
    <row r="299" spans="1:14" s="6" customFormat="1" hidden="1" x14ac:dyDescent="0.35">
      <c r="A299" s="5" t="s">
        <v>1173</v>
      </c>
      <c r="B299" s="5" t="s">
        <v>1174</v>
      </c>
      <c r="C299" s="5" t="s">
        <v>1175</v>
      </c>
      <c r="D299" s="5" t="s">
        <v>241</v>
      </c>
      <c r="E299" s="5" t="s">
        <v>241</v>
      </c>
      <c r="F299" s="5" t="s">
        <v>241</v>
      </c>
      <c r="G299" s="5" t="s">
        <v>138</v>
      </c>
      <c r="H299" s="5" t="s">
        <v>1176</v>
      </c>
      <c r="I299" s="7">
        <v>45960</v>
      </c>
      <c r="J299" s="5"/>
      <c r="L299" s="5" t="s">
        <v>2474</v>
      </c>
      <c r="N299" s="55"/>
    </row>
    <row r="300" spans="1:14" s="6" customFormat="1" hidden="1" x14ac:dyDescent="0.35">
      <c r="A300" s="5" t="s">
        <v>1177</v>
      </c>
      <c r="B300" s="5" t="s">
        <v>1178</v>
      </c>
      <c r="C300" s="5" t="s">
        <v>1179</v>
      </c>
      <c r="D300" s="5" t="s">
        <v>241</v>
      </c>
      <c r="E300" s="5" t="s">
        <v>241</v>
      </c>
      <c r="F300" s="5" t="s">
        <v>241</v>
      </c>
      <c r="G300" s="5" t="s">
        <v>702</v>
      </c>
      <c r="H300" s="5" t="s">
        <v>869</v>
      </c>
      <c r="I300" s="7">
        <v>45964</v>
      </c>
      <c r="J300" s="5"/>
      <c r="L300" s="5" t="s">
        <v>2474</v>
      </c>
      <c r="N300" s="55"/>
    </row>
    <row r="301" spans="1:14" s="6" customFormat="1" hidden="1" x14ac:dyDescent="0.35">
      <c r="A301" s="5" t="s">
        <v>1180</v>
      </c>
      <c r="B301" s="5" t="s">
        <v>1181</v>
      </c>
      <c r="C301" s="5" t="s">
        <v>1182</v>
      </c>
      <c r="D301" s="5" t="s">
        <v>241</v>
      </c>
      <c r="E301" s="5" t="s">
        <v>241</v>
      </c>
      <c r="F301" s="5" t="s">
        <v>241</v>
      </c>
      <c r="G301" s="5" t="s">
        <v>683</v>
      </c>
      <c r="H301" s="5" t="s">
        <v>187</v>
      </c>
      <c r="I301" s="7">
        <v>45964</v>
      </c>
      <c r="J301" s="5"/>
      <c r="L301" s="5" t="s">
        <v>2474</v>
      </c>
      <c r="N301" s="55"/>
    </row>
    <row r="302" spans="1:14" s="6" customFormat="1" hidden="1" x14ac:dyDescent="0.35">
      <c r="A302" s="5" t="s">
        <v>1183</v>
      </c>
      <c r="B302" s="5" t="s">
        <v>1184</v>
      </c>
      <c r="C302" s="5" t="s">
        <v>1185</v>
      </c>
      <c r="D302" s="5" t="s">
        <v>241</v>
      </c>
      <c r="E302" s="5" t="s">
        <v>241</v>
      </c>
      <c r="F302" s="5" t="s">
        <v>241</v>
      </c>
      <c r="G302" s="5" t="s">
        <v>39</v>
      </c>
      <c r="H302" s="5" t="s">
        <v>1186</v>
      </c>
      <c r="I302" s="7">
        <v>45964</v>
      </c>
      <c r="J302" s="5"/>
      <c r="L302" s="5" t="s">
        <v>2474</v>
      </c>
      <c r="N302" s="55"/>
    </row>
    <row r="303" spans="1:14" s="6" customFormat="1" hidden="1" x14ac:dyDescent="0.35">
      <c r="A303" s="5" t="s">
        <v>1187</v>
      </c>
      <c r="B303" s="5" t="s">
        <v>1188</v>
      </c>
      <c r="C303" s="5" t="s">
        <v>1189</v>
      </c>
      <c r="D303" s="5" t="s">
        <v>241</v>
      </c>
      <c r="E303" s="5" t="s">
        <v>241</v>
      </c>
      <c r="F303" s="5" t="s">
        <v>241</v>
      </c>
      <c r="G303" s="5" t="s">
        <v>39</v>
      </c>
      <c r="H303" s="5" t="s">
        <v>1053</v>
      </c>
      <c r="I303" s="7">
        <v>45964</v>
      </c>
      <c r="J303" s="5"/>
      <c r="L303" s="5" t="s">
        <v>2474</v>
      </c>
      <c r="N303" s="55"/>
    </row>
    <row r="304" spans="1:14" s="6" customFormat="1" hidden="1" x14ac:dyDescent="0.35">
      <c r="A304" s="5" t="s">
        <v>1190</v>
      </c>
      <c r="B304" s="5" t="s">
        <v>1191</v>
      </c>
      <c r="C304" s="5" t="s">
        <v>1192</v>
      </c>
      <c r="D304" s="5" t="s">
        <v>241</v>
      </c>
      <c r="E304" s="5" t="s">
        <v>241</v>
      </c>
      <c r="F304" s="5" t="s">
        <v>241</v>
      </c>
      <c r="G304" s="5" t="s">
        <v>138</v>
      </c>
      <c r="H304" s="5" t="s">
        <v>1193</v>
      </c>
      <c r="I304" s="7">
        <v>45957</v>
      </c>
      <c r="J304" s="5"/>
      <c r="L304" s="5" t="s">
        <v>2474</v>
      </c>
      <c r="N304" s="55"/>
    </row>
    <row r="305" spans="1:14" s="6" customFormat="1" hidden="1" x14ac:dyDescent="0.35">
      <c r="A305" s="5" t="s">
        <v>1194</v>
      </c>
      <c r="B305" s="5" t="s">
        <v>1195</v>
      </c>
      <c r="C305" s="5" t="s">
        <v>1196</v>
      </c>
      <c r="D305" s="5" t="s">
        <v>241</v>
      </c>
      <c r="E305" s="5" t="s">
        <v>241</v>
      </c>
      <c r="F305" s="5" t="s">
        <v>241</v>
      </c>
      <c r="G305" s="5" t="s">
        <v>1171</v>
      </c>
      <c r="H305" s="5" t="s">
        <v>1172</v>
      </c>
      <c r="I305" s="7">
        <v>45972</v>
      </c>
      <c r="J305" s="5"/>
      <c r="L305" s="5" t="s">
        <v>2474</v>
      </c>
      <c r="N305" s="55"/>
    </row>
    <row r="306" spans="1:14" s="1" customFormat="1" hidden="1" x14ac:dyDescent="0.35">
      <c r="A306" s="5" t="s">
        <v>1197</v>
      </c>
      <c r="B306" s="5" t="s">
        <v>1198</v>
      </c>
      <c r="C306" s="5" t="s">
        <v>1199</v>
      </c>
      <c r="D306" s="5" t="s">
        <v>29</v>
      </c>
      <c r="E306" s="5" t="s">
        <v>395</v>
      </c>
      <c r="F306" s="2" t="s">
        <v>395</v>
      </c>
      <c r="G306" s="6"/>
      <c r="H306" s="5" t="s">
        <v>1200</v>
      </c>
      <c r="I306" s="7">
        <v>45978</v>
      </c>
      <c r="J306" s="6" t="s">
        <v>807</v>
      </c>
      <c r="K306" s="6" t="s">
        <v>33</v>
      </c>
      <c r="L306" s="25" t="s">
        <v>2475</v>
      </c>
      <c r="M306" s="25"/>
      <c r="N306" s="56"/>
    </row>
    <row r="307" spans="1:14" s="1" customFormat="1" hidden="1" x14ac:dyDescent="0.35">
      <c r="A307" s="5" t="s">
        <v>1201</v>
      </c>
      <c r="B307" s="5" t="s">
        <v>1202</v>
      </c>
      <c r="C307" s="5" t="s">
        <v>1203</v>
      </c>
      <c r="D307" s="5" t="s">
        <v>29</v>
      </c>
      <c r="E307" s="5" t="s">
        <v>395</v>
      </c>
      <c r="F307" s="2" t="s">
        <v>395</v>
      </c>
      <c r="G307" s="6"/>
      <c r="H307" s="5" t="s">
        <v>1200</v>
      </c>
      <c r="I307" s="7">
        <v>45971</v>
      </c>
      <c r="J307" s="6" t="s">
        <v>807</v>
      </c>
      <c r="K307" s="6" t="s">
        <v>33</v>
      </c>
      <c r="L307" s="25" t="s">
        <v>2475</v>
      </c>
      <c r="M307" s="25"/>
      <c r="N307" s="56"/>
    </row>
    <row r="308" spans="1:14" s="6" customFormat="1" hidden="1" x14ac:dyDescent="0.35">
      <c r="A308" s="5" t="s">
        <v>1204</v>
      </c>
      <c r="B308" s="5" t="s">
        <v>1205</v>
      </c>
      <c r="C308" s="5" t="s">
        <v>1206</v>
      </c>
      <c r="D308" s="5" t="s">
        <v>241</v>
      </c>
      <c r="E308" s="5" t="s">
        <v>241</v>
      </c>
      <c r="F308" s="5" t="s">
        <v>241</v>
      </c>
      <c r="G308" s="5" t="s">
        <v>39</v>
      </c>
      <c r="H308" s="5" t="s">
        <v>892</v>
      </c>
      <c r="I308" s="7">
        <v>45971</v>
      </c>
      <c r="J308" s="5"/>
      <c r="L308" s="5" t="s">
        <v>2474</v>
      </c>
      <c r="N308" s="55"/>
    </row>
    <row r="309" spans="1:14" s="6" customFormat="1" hidden="1" x14ac:dyDescent="0.35">
      <c r="A309" s="5" t="s">
        <v>1207</v>
      </c>
      <c r="B309" s="5" t="s">
        <v>1208</v>
      </c>
      <c r="C309" s="5" t="s">
        <v>1209</v>
      </c>
      <c r="D309" s="5" t="s">
        <v>241</v>
      </c>
      <c r="E309" s="5" t="s">
        <v>241</v>
      </c>
      <c r="F309" s="5" t="s">
        <v>241</v>
      </c>
      <c r="G309" s="5" t="s">
        <v>138</v>
      </c>
      <c r="H309" s="5" t="s">
        <v>1210</v>
      </c>
      <c r="I309" s="7">
        <v>45961</v>
      </c>
      <c r="J309" s="5"/>
      <c r="L309" s="5" t="s">
        <v>2474</v>
      </c>
      <c r="N309" s="55"/>
    </row>
    <row r="310" spans="1:14" s="6" customFormat="1" hidden="1" x14ac:dyDescent="0.35">
      <c r="A310" s="5" t="s">
        <v>1211</v>
      </c>
      <c r="B310" s="5" t="s">
        <v>1212</v>
      </c>
      <c r="C310" s="5" t="s">
        <v>1213</v>
      </c>
      <c r="D310" s="5" t="s">
        <v>241</v>
      </c>
      <c r="E310" s="5" t="s">
        <v>241</v>
      </c>
      <c r="F310" s="5" t="s">
        <v>241</v>
      </c>
      <c r="G310" s="5" t="s">
        <v>39</v>
      </c>
      <c r="H310" s="5" t="s">
        <v>1214</v>
      </c>
      <c r="I310" s="7">
        <v>45974</v>
      </c>
      <c r="J310" s="5"/>
      <c r="L310" s="5" t="s">
        <v>2474</v>
      </c>
      <c r="N310" s="55"/>
    </row>
    <row r="311" spans="1:14" s="6" customFormat="1" hidden="1" x14ac:dyDescent="0.35">
      <c r="A311" s="5" t="s">
        <v>1215</v>
      </c>
      <c r="B311" s="5" t="s">
        <v>1216</v>
      </c>
      <c r="C311" s="5" t="s">
        <v>1217</v>
      </c>
      <c r="D311" s="5" t="s">
        <v>241</v>
      </c>
      <c r="E311" s="5" t="s">
        <v>241</v>
      </c>
      <c r="F311" s="5" t="s">
        <v>241</v>
      </c>
      <c r="G311" s="5" t="s">
        <v>39</v>
      </c>
      <c r="H311" s="5" t="s">
        <v>892</v>
      </c>
      <c r="I311" s="7">
        <v>45975</v>
      </c>
      <c r="J311" s="5"/>
      <c r="L311" s="5" t="s">
        <v>2474</v>
      </c>
      <c r="N311" s="55"/>
    </row>
    <row r="312" spans="1:14" s="6" customFormat="1" hidden="1" x14ac:dyDescent="0.35">
      <c r="A312" s="5" t="s">
        <v>1218</v>
      </c>
      <c r="B312" s="5" t="s">
        <v>1219</v>
      </c>
      <c r="C312" s="5" t="s">
        <v>1220</v>
      </c>
      <c r="D312" s="5" t="s">
        <v>241</v>
      </c>
      <c r="E312" s="5" t="s">
        <v>241</v>
      </c>
      <c r="F312" s="5" t="s">
        <v>241</v>
      </c>
      <c r="G312" s="5" t="s">
        <v>39</v>
      </c>
      <c r="H312" s="5" t="s">
        <v>1221</v>
      </c>
      <c r="I312" s="7">
        <v>45978</v>
      </c>
      <c r="J312" s="5"/>
      <c r="L312" s="5" t="s">
        <v>2474</v>
      </c>
      <c r="N312" s="55"/>
    </row>
    <row r="313" spans="1:14" s="1" customFormat="1" hidden="1" x14ac:dyDescent="0.35">
      <c r="A313" s="5" t="s">
        <v>1222</v>
      </c>
      <c r="B313" s="5" t="s">
        <v>1223</v>
      </c>
      <c r="C313" s="5" t="s">
        <v>1224</v>
      </c>
      <c r="D313" s="5" t="s">
        <v>29</v>
      </c>
      <c r="E313" s="5" t="s">
        <v>395</v>
      </c>
      <c r="F313" s="2" t="s">
        <v>395</v>
      </c>
      <c r="G313" s="5"/>
      <c r="H313" s="5" t="s">
        <v>1163</v>
      </c>
      <c r="I313" s="7">
        <v>45980</v>
      </c>
      <c r="J313" s="6" t="s">
        <v>620</v>
      </c>
      <c r="K313" s="6" t="s">
        <v>33</v>
      </c>
      <c r="L313" s="5" t="s">
        <v>2472</v>
      </c>
      <c r="M313" s="25"/>
      <c r="N313" s="56"/>
    </row>
    <row r="314" spans="1:14" s="1" customFormat="1" hidden="1" x14ac:dyDescent="0.35">
      <c r="A314" s="5" t="s">
        <v>1225</v>
      </c>
      <c r="B314" s="5" t="s">
        <v>1226</v>
      </c>
      <c r="C314" s="5" t="s">
        <v>1227</v>
      </c>
      <c r="D314" s="5" t="s">
        <v>29</v>
      </c>
      <c r="E314" s="5" t="s">
        <v>395</v>
      </c>
      <c r="F314" s="2" t="s">
        <v>395</v>
      </c>
      <c r="G314" s="6"/>
      <c r="H314" s="5" t="s">
        <v>1228</v>
      </c>
      <c r="I314" s="7">
        <v>45986</v>
      </c>
      <c r="J314" s="31" t="s">
        <v>3641</v>
      </c>
      <c r="K314" s="6" t="s">
        <v>18</v>
      </c>
      <c r="L314" s="2" t="s">
        <v>2473</v>
      </c>
      <c r="M314" s="25"/>
      <c r="N314" s="56"/>
    </row>
    <row r="315" spans="1:14" s="6" customFormat="1" hidden="1" x14ac:dyDescent="0.35">
      <c r="A315" s="5" t="s">
        <v>1229</v>
      </c>
      <c r="B315" s="5" t="s">
        <v>1230</v>
      </c>
      <c r="C315" s="5" t="s">
        <v>1231</v>
      </c>
      <c r="D315" s="5" t="s">
        <v>241</v>
      </c>
      <c r="E315" s="5" t="s">
        <v>241</v>
      </c>
      <c r="F315" s="5" t="s">
        <v>241</v>
      </c>
      <c r="G315" s="5" t="s">
        <v>138</v>
      </c>
      <c r="H315" s="5" t="s">
        <v>187</v>
      </c>
      <c r="I315" s="7">
        <v>45985</v>
      </c>
      <c r="J315" s="5"/>
      <c r="L315" s="5" t="s">
        <v>2474</v>
      </c>
      <c r="N315" s="55"/>
    </row>
    <row r="316" spans="1:14" s="6" customFormat="1" hidden="1" x14ac:dyDescent="0.35">
      <c r="A316" s="5" t="s">
        <v>1232</v>
      </c>
      <c r="B316" s="5" t="s">
        <v>1233</v>
      </c>
      <c r="C316" s="5" t="s">
        <v>1234</v>
      </c>
      <c r="D316" s="5" t="s">
        <v>241</v>
      </c>
      <c r="E316" s="5" t="s">
        <v>241</v>
      </c>
      <c r="F316" s="5" t="s">
        <v>241</v>
      </c>
      <c r="G316" s="5" t="s">
        <v>702</v>
      </c>
      <c r="H316" s="5" t="s">
        <v>711</v>
      </c>
      <c r="I316" s="7">
        <v>45985</v>
      </c>
      <c r="J316" s="5"/>
      <c r="L316" s="5" t="s">
        <v>2474</v>
      </c>
      <c r="N316" s="55"/>
    </row>
    <row r="317" spans="1:14" s="6" customFormat="1" hidden="1" x14ac:dyDescent="0.35">
      <c r="A317" s="5" t="s">
        <v>1239</v>
      </c>
      <c r="B317" s="5" t="s">
        <v>1240</v>
      </c>
      <c r="C317" s="5" t="s">
        <v>1241</v>
      </c>
      <c r="D317" s="5" t="s">
        <v>241</v>
      </c>
      <c r="E317" s="5" t="s">
        <v>241</v>
      </c>
      <c r="F317" s="5" t="s">
        <v>241</v>
      </c>
      <c r="G317" s="5" t="s">
        <v>683</v>
      </c>
      <c r="H317" s="5" t="s">
        <v>1242</v>
      </c>
      <c r="I317" s="7">
        <v>45992</v>
      </c>
      <c r="J317" s="5"/>
      <c r="L317" s="5" t="s">
        <v>2474</v>
      </c>
      <c r="N317" s="55"/>
    </row>
    <row r="318" spans="1:14" s="6" customFormat="1" hidden="1" x14ac:dyDescent="0.35">
      <c r="A318" s="5" t="s">
        <v>1243</v>
      </c>
      <c r="B318" s="5" t="s">
        <v>1244</v>
      </c>
      <c r="C318" s="5" t="s">
        <v>1245</v>
      </c>
      <c r="D318" s="5" t="s">
        <v>241</v>
      </c>
      <c r="E318" s="5" t="s">
        <v>241</v>
      </c>
      <c r="F318" s="5" t="s">
        <v>241</v>
      </c>
      <c r="G318" s="5" t="s">
        <v>138</v>
      </c>
      <c r="H318" s="5" t="s">
        <v>1246</v>
      </c>
      <c r="I318" s="7">
        <v>46000</v>
      </c>
      <c r="J318" s="5"/>
      <c r="L318" s="5" t="s">
        <v>2474</v>
      </c>
      <c r="N318" s="55"/>
    </row>
    <row r="319" spans="1:14" s="6" customFormat="1" hidden="1" x14ac:dyDescent="0.35">
      <c r="A319" s="5" t="s">
        <v>1247</v>
      </c>
      <c r="B319" s="5" t="s">
        <v>1248</v>
      </c>
      <c r="C319" s="5" t="s">
        <v>1249</v>
      </c>
      <c r="D319" s="5" t="s">
        <v>241</v>
      </c>
      <c r="E319" s="5" t="s">
        <v>241</v>
      </c>
      <c r="F319" s="5" t="s">
        <v>241</v>
      </c>
      <c r="G319" s="5" t="s">
        <v>138</v>
      </c>
      <c r="H319" s="5" t="s">
        <v>1246</v>
      </c>
      <c r="I319" s="7">
        <v>46000</v>
      </c>
      <c r="J319" s="5"/>
      <c r="L319" s="5" t="s">
        <v>2474</v>
      </c>
      <c r="N319" s="55"/>
    </row>
    <row r="320" spans="1:14" s="6" customFormat="1" hidden="1" x14ac:dyDescent="0.35">
      <c r="A320" s="5" t="s">
        <v>1250</v>
      </c>
      <c r="B320" s="5" t="s">
        <v>1251</v>
      </c>
      <c r="C320" s="5" t="s">
        <v>1252</v>
      </c>
      <c r="D320" s="5" t="s">
        <v>241</v>
      </c>
      <c r="E320" s="5" t="s">
        <v>241</v>
      </c>
      <c r="F320" s="5" t="s">
        <v>241</v>
      </c>
      <c r="G320" s="5" t="s">
        <v>138</v>
      </c>
      <c r="H320" s="5" t="s">
        <v>1253</v>
      </c>
      <c r="I320" s="7">
        <v>46000</v>
      </c>
      <c r="J320" s="5"/>
      <c r="L320" s="5" t="s">
        <v>2474</v>
      </c>
      <c r="N320" s="55"/>
    </row>
    <row r="321" spans="1:14" s="6" customFormat="1" hidden="1" x14ac:dyDescent="0.35">
      <c r="A321" s="5" t="s">
        <v>1254</v>
      </c>
      <c r="B321" s="5" t="s">
        <v>1255</v>
      </c>
      <c r="C321" s="5" t="s">
        <v>1256</v>
      </c>
      <c r="D321" s="5" t="s">
        <v>241</v>
      </c>
      <c r="E321" s="5" t="s">
        <v>241</v>
      </c>
      <c r="F321" s="5" t="s">
        <v>241</v>
      </c>
      <c r="G321" s="5" t="s">
        <v>138</v>
      </c>
      <c r="H321" s="5" t="s">
        <v>1246</v>
      </c>
      <c r="I321" s="7">
        <v>46000</v>
      </c>
      <c r="J321" s="5"/>
      <c r="L321" s="5" t="s">
        <v>2474</v>
      </c>
      <c r="N321" s="55"/>
    </row>
    <row r="322" spans="1:14" s="6" customFormat="1" hidden="1" x14ac:dyDescent="0.35">
      <c r="A322" s="5" t="s">
        <v>1257</v>
      </c>
      <c r="B322" s="5" t="s">
        <v>1258</v>
      </c>
      <c r="C322" s="5" t="s">
        <v>1259</v>
      </c>
      <c r="D322" s="5" t="s">
        <v>241</v>
      </c>
      <c r="E322" s="5" t="s">
        <v>241</v>
      </c>
      <c r="F322" s="5" t="s">
        <v>241</v>
      </c>
      <c r="G322" s="5" t="s">
        <v>138</v>
      </c>
      <c r="H322" s="5" t="s">
        <v>1260</v>
      </c>
      <c r="I322" s="7">
        <v>46000</v>
      </c>
      <c r="J322" s="5"/>
      <c r="L322" s="5" t="s">
        <v>2474</v>
      </c>
      <c r="N322" s="55"/>
    </row>
    <row r="323" spans="1:14" s="6" customFormat="1" hidden="1" x14ac:dyDescent="0.35">
      <c r="A323" s="5" t="s">
        <v>1261</v>
      </c>
      <c r="B323" s="5" t="s">
        <v>1262</v>
      </c>
      <c r="C323" s="5" t="s">
        <v>1263</v>
      </c>
      <c r="D323" s="5" t="s">
        <v>241</v>
      </c>
      <c r="E323" s="5" t="s">
        <v>241</v>
      </c>
      <c r="F323" s="5" t="s">
        <v>241</v>
      </c>
      <c r="G323" s="5" t="s">
        <v>138</v>
      </c>
      <c r="H323" s="5" t="s">
        <v>1246</v>
      </c>
      <c r="I323" s="7">
        <v>46000</v>
      </c>
      <c r="J323" s="5"/>
      <c r="L323" s="5" t="s">
        <v>2474</v>
      </c>
      <c r="N323" s="55"/>
    </row>
    <row r="324" spans="1:14" s="1" customFormat="1" hidden="1" x14ac:dyDescent="0.35">
      <c r="A324" s="5" t="s">
        <v>1264</v>
      </c>
      <c r="B324" s="5" t="s">
        <v>1265</v>
      </c>
      <c r="C324" s="5" t="s">
        <v>1266</v>
      </c>
      <c r="D324" s="5" t="s">
        <v>29</v>
      </c>
      <c r="E324" s="5" t="s">
        <v>395</v>
      </c>
      <c r="F324" s="2" t="s">
        <v>395</v>
      </c>
      <c r="G324" s="6"/>
      <c r="H324" s="5" t="s">
        <v>1200</v>
      </c>
      <c r="I324" s="7">
        <v>46006</v>
      </c>
      <c r="J324" s="6" t="s">
        <v>807</v>
      </c>
      <c r="K324" s="6" t="s">
        <v>33</v>
      </c>
      <c r="L324" s="25" t="s">
        <v>2475</v>
      </c>
      <c r="M324" s="25"/>
      <c r="N324" s="56"/>
    </row>
    <row r="325" spans="1:14" s="6" customFormat="1" hidden="1" x14ac:dyDescent="0.35">
      <c r="A325" s="5" t="s">
        <v>1267</v>
      </c>
      <c r="B325" s="5" t="s">
        <v>1268</v>
      </c>
      <c r="C325" s="5" t="s">
        <v>1269</v>
      </c>
      <c r="D325" s="5" t="s">
        <v>241</v>
      </c>
      <c r="E325" s="5" t="s">
        <v>241</v>
      </c>
      <c r="F325" s="5" t="s">
        <v>241</v>
      </c>
      <c r="G325" s="5" t="s">
        <v>138</v>
      </c>
      <c r="H325" s="5" t="s">
        <v>1270</v>
      </c>
      <c r="I325" s="7">
        <v>46001</v>
      </c>
      <c r="J325" s="5"/>
      <c r="L325" s="5" t="s">
        <v>2474</v>
      </c>
      <c r="N325" s="55"/>
    </row>
    <row r="326" spans="1:14" s="6" customFormat="1" hidden="1" x14ac:dyDescent="0.35">
      <c r="A326" s="5" t="s">
        <v>1271</v>
      </c>
      <c r="B326" s="5" t="s">
        <v>1272</v>
      </c>
      <c r="C326" s="5" t="s">
        <v>1273</v>
      </c>
      <c r="D326" s="5" t="s">
        <v>241</v>
      </c>
      <c r="E326" s="5" t="s">
        <v>241</v>
      </c>
      <c r="F326" s="5" t="s">
        <v>241</v>
      </c>
      <c r="G326" s="5" t="s">
        <v>702</v>
      </c>
      <c r="H326" s="5" t="s">
        <v>1275</v>
      </c>
      <c r="I326" s="7">
        <v>46008</v>
      </c>
      <c r="J326" s="5"/>
      <c r="L326" s="5" t="s">
        <v>2474</v>
      </c>
      <c r="N326" s="55"/>
    </row>
    <row r="327" spans="1:14" s="1" customFormat="1" hidden="1" x14ac:dyDescent="0.35">
      <c r="A327" s="5" t="s">
        <v>1276</v>
      </c>
      <c r="B327" s="5" t="s">
        <v>1277</v>
      </c>
      <c r="C327" s="5" t="s">
        <v>1278</v>
      </c>
      <c r="D327" s="5" t="s">
        <v>29</v>
      </c>
      <c r="E327" s="5" t="s">
        <v>395</v>
      </c>
      <c r="F327" s="2" t="s">
        <v>395</v>
      </c>
      <c r="G327" s="6"/>
      <c r="H327" s="5" t="s">
        <v>1086</v>
      </c>
      <c r="I327" s="7">
        <v>46027</v>
      </c>
      <c r="J327" s="6" t="s">
        <v>76</v>
      </c>
      <c r="K327" s="6" t="s">
        <v>33</v>
      </c>
      <c r="L327" s="25" t="s">
        <v>2475</v>
      </c>
      <c r="M327" s="25"/>
      <c r="N327" s="56"/>
    </row>
    <row r="328" spans="1:14" s="1" customFormat="1" hidden="1" x14ac:dyDescent="0.35">
      <c r="A328" s="5" t="s">
        <v>1279</v>
      </c>
      <c r="B328" s="5" t="s">
        <v>1280</v>
      </c>
      <c r="C328" s="5" t="s">
        <v>1281</v>
      </c>
      <c r="D328" s="5" t="s">
        <v>29</v>
      </c>
      <c r="E328" s="5" t="s">
        <v>395</v>
      </c>
      <c r="F328" s="2" t="s">
        <v>395</v>
      </c>
      <c r="G328" s="6"/>
      <c r="H328" s="5" t="s">
        <v>596</v>
      </c>
      <c r="I328" s="7">
        <v>46020</v>
      </c>
      <c r="J328" s="6" t="s">
        <v>2779</v>
      </c>
      <c r="K328" s="6" t="s">
        <v>33</v>
      </c>
      <c r="L328" s="25" t="s">
        <v>2475</v>
      </c>
      <c r="M328" s="25"/>
      <c r="N328" s="56"/>
    </row>
    <row r="329" spans="1:14" s="1" customFormat="1" hidden="1" x14ac:dyDescent="0.35">
      <c r="A329" s="5" t="s">
        <v>1285</v>
      </c>
      <c r="B329" s="5" t="s">
        <v>1286</v>
      </c>
      <c r="C329" s="5" t="s">
        <v>1287</v>
      </c>
      <c r="D329" s="5" t="s">
        <v>29</v>
      </c>
      <c r="E329" s="5" t="s">
        <v>395</v>
      </c>
      <c r="F329" s="2" t="s">
        <v>395</v>
      </c>
      <c r="G329" s="6"/>
      <c r="H329" s="5" t="s">
        <v>1288</v>
      </c>
      <c r="I329" s="7">
        <v>46028</v>
      </c>
      <c r="J329" s="6" t="s">
        <v>807</v>
      </c>
      <c r="K329" s="6" t="s">
        <v>33</v>
      </c>
      <c r="L329" s="25" t="s">
        <v>2475</v>
      </c>
      <c r="M329" s="25"/>
      <c r="N329" s="56"/>
    </row>
    <row r="330" spans="1:14" s="6" customFormat="1" hidden="1" x14ac:dyDescent="0.35">
      <c r="A330" s="5" t="s">
        <v>1289</v>
      </c>
      <c r="B330" s="5" t="s">
        <v>1290</v>
      </c>
      <c r="C330" s="5" t="s">
        <v>1291</v>
      </c>
      <c r="D330" s="5" t="s">
        <v>241</v>
      </c>
      <c r="E330" s="5" t="s">
        <v>241</v>
      </c>
      <c r="F330" s="5" t="s">
        <v>241</v>
      </c>
      <c r="G330" s="5" t="s">
        <v>63</v>
      </c>
      <c r="H330" s="5" t="s">
        <v>563</v>
      </c>
      <c r="I330" s="7">
        <v>46027</v>
      </c>
      <c r="J330" s="5"/>
      <c r="L330" s="5" t="s">
        <v>2474</v>
      </c>
      <c r="N330" s="55"/>
    </row>
    <row r="331" spans="1:14" s="1" customFormat="1" hidden="1" x14ac:dyDescent="0.35">
      <c r="A331" s="5" t="s">
        <v>1118</v>
      </c>
      <c r="B331" s="5" t="s">
        <v>1117</v>
      </c>
      <c r="C331" s="5" t="s">
        <v>1292</v>
      </c>
      <c r="D331" s="5" t="s">
        <v>29</v>
      </c>
      <c r="E331" s="5" t="s">
        <v>395</v>
      </c>
      <c r="F331" s="2" t="s">
        <v>395</v>
      </c>
      <c r="G331" s="6"/>
      <c r="H331" s="5" t="s">
        <v>212</v>
      </c>
      <c r="I331" s="7">
        <v>46030</v>
      </c>
      <c r="J331" s="6" t="s">
        <v>807</v>
      </c>
      <c r="K331" s="6" t="s">
        <v>33</v>
      </c>
      <c r="L331" s="25" t="s">
        <v>2475</v>
      </c>
      <c r="M331" s="25"/>
      <c r="N331" s="56"/>
    </row>
    <row r="332" spans="1:14" s="1" customFormat="1" hidden="1" x14ac:dyDescent="0.35">
      <c r="A332" s="5" t="s">
        <v>1293</v>
      </c>
      <c r="B332" s="5" t="s">
        <v>1294</v>
      </c>
      <c r="C332" s="5" t="s">
        <v>1295</v>
      </c>
      <c r="D332" s="5" t="s">
        <v>29</v>
      </c>
      <c r="E332" s="5" t="s">
        <v>395</v>
      </c>
      <c r="F332" s="2" t="s">
        <v>395</v>
      </c>
      <c r="G332" s="6"/>
      <c r="H332" s="5" t="s">
        <v>1296</v>
      </c>
      <c r="I332" s="7">
        <v>46034</v>
      </c>
      <c r="J332" s="6" t="s">
        <v>56</v>
      </c>
      <c r="K332" s="6" t="s">
        <v>33</v>
      </c>
      <c r="L332" s="25" t="s">
        <v>2475</v>
      </c>
      <c r="M332" s="25"/>
      <c r="N332" s="56"/>
    </row>
    <row r="333" spans="1:14" s="6" customFormat="1" hidden="1" x14ac:dyDescent="0.35">
      <c r="A333" s="5" t="s">
        <v>1297</v>
      </c>
      <c r="B333" s="5" t="s">
        <v>1298</v>
      </c>
      <c r="C333" s="5" t="s">
        <v>1299</v>
      </c>
      <c r="D333" s="5" t="s">
        <v>241</v>
      </c>
      <c r="E333" s="5" t="s">
        <v>241</v>
      </c>
      <c r="F333" s="5" t="s">
        <v>241</v>
      </c>
      <c r="G333" s="5" t="s">
        <v>702</v>
      </c>
      <c r="H333" s="5" t="s">
        <v>1300</v>
      </c>
      <c r="I333" s="7">
        <v>46034</v>
      </c>
      <c r="J333" s="5"/>
      <c r="L333" s="5" t="s">
        <v>2474</v>
      </c>
      <c r="N333" s="55"/>
    </row>
    <row r="334" spans="1:14" s="6" customFormat="1" hidden="1" x14ac:dyDescent="0.35">
      <c r="A334" s="5" t="s">
        <v>1301</v>
      </c>
      <c r="B334" s="5" t="s">
        <v>1302</v>
      </c>
      <c r="C334" s="5" t="s">
        <v>1303</v>
      </c>
      <c r="D334" s="5" t="s">
        <v>241</v>
      </c>
      <c r="E334" s="5" t="s">
        <v>241</v>
      </c>
      <c r="F334" s="5" t="s">
        <v>241</v>
      </c>
      <c r="G334" s="5" t="s">
        <v>702</v>
      </c>
      <c r="H334" s="5" t="s">
        <v>1300</v>
      </c>
      <c r="I334" s="7">
        <v>46034</v>
      </c>
      <c r="J334" s="5"/>
      <c r="L334" s="5" t="s">
        <v>2474</v>
      </c>
      <c r="N334" s="55"/>
    </row>
    <row r="335" spans="1:14" s="6" customFormat="1" hidden="1" x14ac:dyDescent="0.35">
      <c r="A335" s="5" t="s">
        <v>1304</v>
      </c>
      <c r="B335" s="5" t="s">
        <v>1305</v>
      </c>
      <c r="C335" s="5" t="s">
        <v>1306</v>
      </c>
      <c r="D335" s="5" t="s">
        <v>241</v>
      </c>
      <c r="E335" s="5" t="s">
        <v>241</v>
      </c>
      <c r="F335" s="5" t="s">
        <v>241</v>
      </c>
      <c r="G335" s="5" t="s">
        <v>702</v>
      </c>
      <c r="H335" s="5" t="s">
        <v>1307</v>
      </c>
      <c r="I335" s="7">
        <v>46034</v>
      </c>
      <c r="J335" s="5"/>
      <c r="L335" s="5" t="s">
        <v>2474</v>
      </c>
      <c r="N335" s="55"/>
    </row>
    <row r="336" spans="1:14" s="1" customFormat="1" hidden="1" x14ac:dyDescent="0.35">
      <c r="A336" s="5" t="s">
        <v>1308</v>
      </c>
      <c r="B336" s="5" t="s">
        <v>1309</v>
      </c>
      <c r="C336" s="5" t="s">
        <v>1310</v>
      </c>
      <c r="D336" s="5" t="s">
        <v>29</v>
      </c>
      <c r="E336" s="5" t="s">
        <v>395</v>
      </c>
      <c r="F336" s="2" t="s">
        <v>395</v>
      </c>
      <c r="G336" s="6"/>
      <c r="H336" s="5" t="s">
        <v>1311</v>
      </c>
      <c r="I336" s="7">
        <v>46038</v>
      </c>
      <c r="J336" s="6" t="s">
        <v>807</v>
      </c>
      <c r="K336" s="6" t="s">
        <v>33</v>
      </c>
      <c r="L336" s="25" t="s">
        <v>2475</v>
      </c>
      <c r="M336" s="25"/>
      <c r="N336" s="56"/>
    </row>
    <row r="337" spans="1:14" s="6" customFormat="1" hidden="1" x14ac:dyDescent="0.35">
      <c r="A337" s="5" t="s">
        <v>1312</v>
      </c>
      <c r="B337" s="5" t="s">
        <v>1313</v>
      </c>
      <c r="C337" s="5" t="s">
        <v>1314</v>
      </c>
      <c r="D337" s="5" t="s">
        <v>241</v>
      </c>
      <c r="E337" s="5" t="s">
        <v>241</v>
      </c>
      <c r="F337" s="5" t="s">
        <v>241</v>
      </c>
      <c r="G337" s="5" t="s">
        <v>138</v>
      </c>
      <c r="H337" s="5" t="s">
        <v>1315</v>
      </c>
      <c r="I337" s="7">
        <v>46037</v>
      </c>
      <c r="J337" s="5"/>
      <c r="L337" s="5" t="s">
        <v>2474</v>
      </c>
      <c r="N337" s="55"/>
    </row>
    <row r="338" spans="1:14" s="1" customFormat="1" hidden="1" x14ac:dyDescent="0.35">
      <c r="A338" s="5" t="s">
        <v>1316</v>
      </c>
      <c r="B338" s="5" t="s">
        <v>1317</v>
      </c>
      <c r="C338" s="5" t="s">
        <v>1318</v>
      </c>
      <c r="D338" s="5" t="s">
        <v>29</v>
      </c>
      <c r="E338" s="5" t="s">
        <v>395</v>
      </c>
      <c r="F338" s="2" t="s">
        <v>395</v>
      </c>
      <c r="G338" s="6"/>
      <c r="H338" s="5" t="s">
        <v>1200</v>
      </c>
      <c r="I338" s="7">
        <v>46045</v>
      </c>
      <c r="J338" s="6" t="s">
        <v>807</v>
      </c>
      <c r="K338" s="6" t="s">
        <v>33</v>
      </c>
      <c r="L338" s="25" t="s">
        <v>2475</v>
      </c>
      <c r="M338" s="25"/>
      <c r="N338" s="56"/>
    </row>
    <row r="339" spans="1:14" s="6" customFormat="1" hidden="1" x14ac:dyDescent="0.35">
      <c r="A339" s="5" t="s">
        <v>1319</v>
      </c>
      <c r="B339" s="5" t="s">
        <v>1320</v>
      </c>
      <c r="C339" s="5" t="s">
        <v>1321</v>
      </c>
      <c r="D339" s="5" t="s">
        <v>241</v>
      </c>
      <c r="E339" s="5" t="s">
        <v>241</v>
      </c>
      <c r="F339" s="5" t="s">
        <v>241</v>
      </c>
      <c r="G339" s="5" t="s">
        <v>39</v>
      </c>
      <c r="H339" s="5" t="s">
        <v>1322</v>
      </c>
      <c r="I339" s="7">
        <v>46042</v>
      </c>
      <c r="J339" s="5"/>
      <c r="L339" s="5" t="s">
        <v>2474</v>
      </c>
      <c r="N339" s="55"/>
    </row>
    <row r="340" spans="1:14" s="6" customFormat="1" hidden="1" x14ac:dyDescent="0.35">
      <c r="A340" s="5" t="s">
        <v>1323</v>
      </c>
      <c r="B340" s="5" t="s">
        <v>1324</v>
      </c>
      <c r="C340" s="5" t="s">
        <v>1325</v>
      </c>
      <c r="D340" s="5" t="s">
        <v>241</v>
      </c>
      <c r="E340" s="5" t="s">
        <v>241</v>
      </c>
      <c r="F340" s="5" t="s">
        <v>241</v>
      </c>
      <c r="G340" s="5" t="s">
        <v>659</v>
      </c>
      <c r="H340" s="5" t="s">
        <v>506</v>
      </c>
      <c r="I340" s="7">
        <v>46050</v>
      </c>
      <c r="J340" s="5"/>
      <c r="L340" s="5" t="s">
        <v>2474</v>
      </c>
      <c r="N340" s="55"/>
    </row>
    <row r="341" spans="1:14" s="6" customFormat="1" hidden="1" x14ac:dyDescent="0.35">
      <c r="A341" s="5" t="s">
        <v>1326</v>
      </c>
      <c r="B341" s="5" t="s">
        <v>1327</v>
      </c>
      <c r="C341" s="5" t="s">
        <v>1328</v>
      </c>
      <c r="D341" s="5" t="s">
        <v>241</v>
      </c>
      <c r="E341" s="5" t="s">
        <v>241</v>
      </c>
      <c r="F341" s="5" t="s">
        <v>241</v>
      </c>
      <c r="G341" s="5" t="s">
        <v>138</v>
      </c>
      <c r="H341" s="5" t="s">
        <v>1329</v>
      </c>
      <c r="I341" s="7">
        <v>46049</v>
      </c>
      <c r="J341" s="5"/>
      <c r="L341" s="5" t="s">
        <v>2474</v>
      </c>
      <c r="N341" s="55"/>
    </row>
    <row r="342" spans="1:14" s="1" customFormat="1" hidden="1" x14ac:dyDescent="0.35">
      <c r="A342" s="5" t="s">
        <v>1330</v>
      </c>
      <c r="B342" s="2" t="s">
        <v>1331</v>
      </c>
      <c r="C342" s="2" t="s">
        <v>1332</v>
      </c>
      <c r="D342" s="2" t="s">
        <v>37</v>
      </c>
      <c r="E342" s="26" t="s">
        <v>2476</v>
      </c>
      <c r="F342" s="2" t="s">
        <v>3606</v>
      </c>
      <c r="G342" s="2"/>
      <c r="H342" s="2" t="s">
        <v>230</v>
      </c>
      <c r="I342" s="24">
        <v>46055</v>
      </c>
      <c r="J342" s="2"/>
      <c r="K342" s="25"/>
      <c r="L342" s="2" t="s">
        <v>2473</v>
      </c>
      <c r="M342" s="25"/>
      <c r="N342" s="56"/>
    </row>
    <row r="343" spans="1:14" s="1" customFormat="1" hidden="1" x14ac:dyDescent="0.35">
      <c r="A343" s="5" t="s">
        <v>1333</v>
      </c>
      <c r="B343" s="5" t="s">
        <v>1334</v>
      </c>
      <c r="C343" s="5" t="s">
        <v>1335</v>
      </c>
      <c r="D343" s="5" t="s">
        <v>29</v>
      </c>
      <c r="E343" s="5" t="s">
        <v>395</v>
      </c>
      <c r="F343" s="2" t="s">
        <v>395</v>
      </c>
      <c r="G343" s="5"/>
      <c r="H343" s="5" t="s">
        <v>221</v>
      </c>
      <c r="I343" s="7">
        <v>46058</v>
      </c>
      <c r="J343" s="6" t="s">
        <v>76</v>
      </c>
      <c r="K343" s="6" t="s">
        <v>33</v>
      </c>
      <c r="L343" s="5" t="s">
        <v>2472</v>
      </c>
      <c r="M343" s="25"/>
      <c r="N343" s="56"/>
    </row>
    <row r="344" spans="1:14" s="6" customFormat="1" hidden="1" x14ac:dyDescent="0.35">
      <c r="A344" s="5" t="s">
        <v>1336</v>
      </c>
      <c r="B344" s="5" t="s">
        <v>1337</v>
      </c>
      <c r="C344" s="5" t="s">
        <v>1338</v>
      </c>
      <c r="D344" s="5" t="s">
        <v>241</v>
      </c>
      <c r="E344" s="5" t="s">
        <v>241</v>
      </c>
      <c r="F344" s="5" t="s">
        <v>241</v>
      </c>
      <c r="G344" s="5" t="s">
        <v>138</v>
      </c>
      <c r="H344" s="5" t="s">
        <v>785</v>
      </c>
      <c r="I344" s="7">
        <v>46055</v>
      </c>
      <c r="J344" s="5"/>
      <c r="L344" s="5" t="s">
        <v>2474</v>
      </c>
      <c r="N344" s="55"/>
    </row>
    <row r="345" spans="1:14" s="6" customFormat="1" hidden="1" x14ac:dyDescent="0.35">
      <c r="A345" s="5" t="s">
        <v>1339</v>
      </c>
      <c r="B345" s="5" t="s">
        <v>1340</v>
      </c>
      <c r="C345" s="5" t="s">
        <v>1341</v>
      </c>
      <c r="D345" s="5" t="s">
        <v>241</v>
      </c>
      <c r="E345" s="5" t="s">
        <v>241</v>
      </c>
      <c r="F345" s="5" t="s">
        <v>241</v>
      </c>
      <c r="G345" s="5" t="s">
        <v>1026</v>
      </c>
      <c r="H345" s="5" t="s">
        <v>1342</v>
      </c>
      <c r="I345" s="7">
        <v>46063</v>
      </c>
      <c r="J345" s="5"/>
      <c r="L345" s="5" t="s">
        <v>2474</v>
      </c>
      <c r="N345" s="55"/>
    </row>
    <row r="346" spans="1:14" s="6" customFormat="1" hidden="1" x14ac:dyDescent="0.35">
      <c r="A346" s="5" t="s">
        <v>1343</v>
      </c>
      <c r="B346" s="5" t="s">
        <v>1344</v>
      </c>
      <c r="C346" s="5" t="s">
        <v>1345</v>
      </c>
      <c r="D346" s="5" t="s">
        <v>241</v>
      </c>
      <c r="E346" s="5" t="s">
        <v>241</v>
      </c>
      <c r="F346" s="5" t="s">
        <v>241</v>
      </c>
      <c r="G346" s="5" t="s">
        <v>659</v>
      </c>
      <c r="H346" s="5" t="s">
        <v>506</v>
      </c>
      <c r="I346" s="7">
        <v>46065</v>
      </c>
      <c r="J346" s="5"/>
      <c r="L346" s="5" t="s">
        <v>2474</v>
      </c>
      <c r="N346" s="55"/>
    </row>
    <row r="347" spans="1:14" s="1" customFormat="1" hidden="1" x14ac:dyDescent="0.35">
      <c r="A347" s="5" t="s">
        <v>1346</v>
      </c>
      <c r="B347" s="5" t="s">
        <v>1347</v>
      </c>
      <c r="C347" s="5" t="s">
        <v>1348</v>
      </c>
      <c r="D347" s="5" t="s">
        <v>29</v>
      </c>
      <c r="E347" s="5" t="s">
        <v>395</v>
      </c>
      <c r="F347" s="2" t="s">
        <v>395</v>
      </c>
      <c r="G347" s="6"/>
      <c r="H347" s="5" t="s">
        <v>1200</v>
      </c>
      <c r="I347" s="7">
        <v>46071</v>
      </c>
      <c r="J347" s="6" t="s">
        <v>807</v>
      </c>
      <c r="K347" s="6" t="s">
        <v>33</v>
      </c>
      <c r="L347" s="25" t="s">
        <v>2475</v>
      </c>
      <c r="M347" s="25"/>
      <c r="N347" s="56"/>
    </row>
    <row r="348" spans="1:14" s="6" customFormat="1" hidden="1" x14ac:dyDescent="0.35">
      <c r="A348" s="5" t="s">
        <v>1349</v>
      </c>
      <c r="B348" s="5" t="s">
        <v>1350</v>
      </c>
      <c r="C348" s="5" t="s">
        <v>1351</v>
      </c>
      <c r="D348" s="5" t="s">
        <v>241</v>
      </c>
      <c r="E348" s="5" t="s">
        <v>241</v>
      </c>
      <c r="F348" s="5" t="s">
        <v>241</v>
      </c>
      <c r="G348" s="5" t="s">
        <v>1352</v>
      </c>
      <c r="H348" s="5" t="s">
        <v>1353</v>
      </c>
      <c r="I348" s="7">
        <v>46069</v>
      </c>
      <c r="J348" s="5"/>
      <c r="L348" s="5" t="s">
        <v>2474</v>
      </c>
      <c r="N348" s="55"/>
    </row>
    <row r="349" spans="1:14" s="6" customFormat="1" hidden="1" x14ac:dyDescent="0.35">
      <c r="A349" s="5" t="s">
        <v>1354</v>
      </c>
      <c r="B349" s="5" t="s">
        <v>1355</v>
      </c>
      <c r="C349" s="5" t="s">
        <v>1356</v>
      </c>
      <c r="D349" s="5" t="s">
        <v>241</v>
      </c>
      <c r="E349" s="5" t="s">
        <v>241</v>
      </c>
      <c r="F349" s="5" t="s">
        <v>241</v>
      </c>
      <c r="G349" s="5" t="s">
        <v>39</v>
      </c>
      <c r="H349" s="5" t="s">
        <v>1357</v>
      </c>
      <c r="I349" s="7">
        <v>46069</v>
      </c>
      <c r="J349" s="5"/>
      <c r="L349" s="5" t="s">
        <v>2474</v>
      </c>
      <c r="N349" s="55"/>
    </row>
    <row r="350" spans="1:14" s="6" customFormat="1" hidden="1" x14ac:dyDescent="0.35">
      <c r="A350" s="5" t="s">
        <v>1358</v>
      </c>
      <c r="B350" s="5" t="s">
        <v>1359</v>
      </c>
      <c r="C350" s="5" t="s">
        <v>1360</v>
      </c>
      <c r="D350" s="5" t="s">
        <v>241</v>
      </c>
      <c r="E350" s="5" t="s">
        <v>241</v>
      </c>
      <c r="F350" s="5" t="s">
        <v>241</v>
      </c>
      <c r="G350" s="5" t="s">
        <v>39</v>
      </c>
      <c r="H350" s="5" t="s">
        <v>1361</v>
      </c>
      <c r="I350" s="7">
        <v>46073</v>
      </c>
      <c r="J350" s="5"/>
      <c r="L350" s="5" t="s">
        <v>2474</v>
      </c>
      <c r="N350" s="55"/>
    </row>
    <row r="351" spans="1:14" s="1" customFormat="1" hidden="1" x14ac:dyDescent="0.35">
      <c r="A351" s="5" t="s">
        <v>1362</v>
      </c>
      <c r="B351" s="5" t="s">
        <v>1363</v>
      </c>
      <c r="C351" s="5" t="s">
        <v>1364</v>
      </c>
      <c r="D351" s="5" t="s">
        <v>29</v>
      </c>
      <c r="E351" s="5" t="s">
        <v>395</v>
      </c>
      <c r="F351" s="2" t="s">
        <v>395</v>
      </c>
      <c r="G351" s="6"/>
      <c r="H351" s="5" t="s">
        <v>1365</v>
      </c>
      <c r="I351" s="7">
        <v>46077</v>
      </c>
      <c r="J351" s="6" t="s">
        <v>807</v>
      </c>
      <c r="K351" s="6" t="s">
        <v>33</v>
      </c>
      <c r="L351" s="25" t="s">
        <v>2475</v>
      </c>
      <c r="M351" s="25"/>
      <c r="N351" s="56"/>
    </row>
    <row r="352" spans="1:14" s="1" customFormat="1" hidden="1" x14ac:dyDescent="0.35">
      <c r="A352" s="5" t="s">
        <v>1366</v>
      </c>
      <c r="B352" s="5" t="s">
        <v>1367</v>
      </c>
      <c r="C352" s="5" t="s">
        <v>1368</v>
      </c>
      <c r="D352" s="5" t="s">
        <v>29</v>
      </c>
      <c r="E352" s="5" t="s">
        <v>395</v>
      </c>
      <c r="F352" s="2" t="s">
        <v>395</v>
      </c>
      <c r="G352" s="6"/>
      <c r="H352" s="5" t="s">
        <v>1200</v>
      </c>
      <c r="I352" s="7">
        <v>46084</v>
      </c>
      <c r="J352" s="6" t="s">
        <v>807</v>
      </c>
      <c r="K352" s="6" t="s">
        <v>33</v>
      </c>
      <c r="L352" s="25" t="s">
        <v>2475</v>
      </c>
      <c r="M352" s="25"/>
      <c r="N352" s="56"/>
    </row>
    <row r="353" spans="1:14" s="6" customFormat="1" hidden="1" x14ac:dyDescent="0.35">
      <c r="A353" s="5" t="s">
        <v>1369</v>
      </c>
      <c r="B353" s="5" t="s">
        <v>1370</v>
      </c>
      <c r="C353" s="5" t="s">
        <v>1371</v>
      </c>
      <c r="D353" s="5" t="s">
        <v>241</v>
      </c>
      <c r="E353" s="5" t="s">
        <v>241</v>
      </c>
      <c r="F353" s="5" t="s">
        <v>241</v>
      </c>
      <c r="G353" s="5" t="s">
        <v>138</v>
      </c>
      <c r="H353" s="5" t="s">
        <v>1372</v>
      </c>
      <c r="I353" s="7">
        <v>46084</v>
      </c>
      <c r="J353" s="5"/>
      <c r="L353" s="5" t="s">
        <v>2474</v>
      </c>
      <c r="N353" s="55"/>
    </row>
    <row r="354" spans="1:14" s="6" customFormat="1" hidden="1" x14ac:dyDescent="0.35">
      <c r="A354" s="5" t="s">
        <v>1373</v>
      </c>
      <c r="B354" s="5" t="s">
        <v>1374</v>
      </c>
      <c r="C354" s="5" t="s">
        <v>1375</v>
      </c>
      <c r="D354" s="5" t="s">
        <v>241</v>
      </c>
      <c r="E354" s="5" t="s">
        <v>241</v>
      </c>
      <c r="F354" s="5" t="s">
        <v>241</v>
      </c>
      <c r="G354" s="5" t="s">
        <v>282</v>
      </c>
      <c r="H354" s="5" t="s">
        <v>1376</v>
      </c>
      <c r="I354" s="7">
        <v>46084</v>
      </c>
      <c r="J354" s="5"/>
      <c r="L354" s="5" t="s">
        <v>2474</v>
      </c>
      <c r="N354" s="55"/>
    </row>
    <row r="355" spans="1:14" s="1" customFormat="1" hidden="1" x14ac:dyDescent="0.35">
      <c r="A355" s="5" t="s">
        <v>1377</v>
      </c>
      <c r="B355" s="5" t="s">
        <v>1378</v>
      </c>
      <c r="C355" s="5" t="s">
        <v>1379</v>
      </c>
      <c r="D355" s="5" t="s">
        <v>29</v>
      </c>
      <c r="E355" s="5" t="s">
        <v>395</v>
      </c>
      <c r="F355" s="2" t="s">
        <v>395</v>
      </c>
      <c r="G355" s="5"/>
      <c r="H355" s="5" t="s">
        <v>1380</v>
      </c>
      <c r="I355" s="7">
        <v>46097</v>
      </c>
      <c r="J355" s="6" t="s">
        <v>807</v>
      </c>
      <c r="K355" s="6" t="s">
        <v>33</v>
      </c>
      <c r="L355" s="5" t="s">
        <v>2472</v>
      </c>
      <c r="M355" s="25"/>
      <c r="N355" s="56"/>
    </row>
    <row r="356" spans="1:14" s="1" customFormat="1" hidden="1" x14ac:dyDescent="0.35">
      <c r="A356" s="5" t="s">
        <v>1381</v>
      </c>
      <c r="B356" s="2" t="s">
        <v>1382</v>
      </c>
      <c r="C356" s="2" t="s">
        <v>1383</v>
      </c>
      <c r="D356" s="2" t="s">
        <v>37</v>
      </c>
      <c r="E356" s="26" t="s">
        <v>2476</v>
      </c>
      <c r="F356" s="2" t="s">
        <v>3606</v>
      </c>
      <c r="G356" s="2"/>
      <c r="H356" s="2" t="s">
        <v>370</v>
      </c>
      <c r="I356" s="24">
        <v>46094</v>
      </c>
      <c r="J356" s="2"/>
      <c r="K356" s="25"/>
      <c r="L356" s="2" t="s">
        <v>2473</v>
      </c>
      <c r="M356" s="25"/>
      <c r="N356" s="56"/>
    </row>
    <row r="357" spans="1:14" s="6" customFormat="1" hidden="1" x14ac:dyDescent="0.35">
      <c r="A357" s="5" t="s">
        <v>1384</v>
      </c>
      <c r="B357" s="5" t="s">
        <v>1385</v>
      </c>
      <c r="C357" s="5" t="s">
        <v>1386</v>
      </c>
      <c r="D357" s="5" t="s">
        <v>241</v>
      </c>
      <c r="E357" s="5" t="s">
        <v>241</v>
      </c>
      <c r="F357" s="5" t="s">
        <v>241</v>
      </c>
      <c r="G357" s="5" t="s">
        <v>138</v>
      </c>
      <c r="H357" s="5" t="s">
        <v>1387</v>
      </c>
      <c r="I357" s="7">
        <v>46092</v>
      </c>
      <c r="J357" s="5"/>
      <c r="L357" s="5" t="s">
        <v>2474</v>
      </c>
      <c r="N357" s="55"/>
    </row>
    <row r="358" spans="1:14" s="6" customFormat="1" hidden="1" x14ac:dyDescent="0.35">
      <c r="A358" s="5" t="s">
        <v>1388</v>
      </c>
      <c r="B358" s="5" t="s">
        <v>1389</v>
      </c>
      <c r="C358" s="5" t="s">
        <v>1390</v>
      </c>
      <c r="D358" s="5" t="s">
        <v>241</v>
      </c>
      <c r="E358" s="5" t="s">
        <v>241</v>
      </c>
      <c r="F358" s="5" t="s">
        <v>241</v>
      </c>
      <c r="G358" s="5" t="s">
        <v>138</v>
      </c>
      <c r="H358" s="5" t="s">
        <v>1391</v>
      </c>
      <c r="I358" s="7">
        <v>46097</v>
      </c>
      <c r="J358" s="5"/>
      <c r="L358" s="5" t="s">
        <v>2474</v>
      </c>
      <c r="N358" s="55"/>
    </row>
    <row r="359" spans="1:14" s="1" customFormat="1" hidden="1" x14ac:dyDescent="0.35">
      <c r="A359" s="5" t="s">
        <v>1392</v>
      </c>
      <c r="B359" s="2" t="s">
        <v>1393</v>
      </c>
      <c r="C359" s="2" t="s">
        <v>1394</v>
      </c>
      <c r="D359" s="2" t="s">
        <v>20</v>
      </c>
      <c r="E359" s="2" t="s">
        <v>20</v>
      </c>
      <c r="F359" s="2" t="s">
        <v>20</v>
      </c>
      <c r="G359" s="2" t="s">
        <v>165</v>
      </c>
      <c r="H359" s="2" t="s">
        <v>175</v>
      </c>
      <c r="I359" s="24">
        <v>46104</v>
      </c>
      <c r="J359" s="2"/>
      <c r="K359" s="25"/>
      <c r="L359" s="2" t="s">
        <v>2473</v>
      </c>
      <c r="M359" s="25"/>
      <c r="N359" s="56"/>
    </row>
    <row r="360" spans="1:14" s="6" customFormat="1" hidden="1" x14ac:dyDescent="0.35">
      <c r="A360" s="5" t="s">
        <v>1395</v>
      </c>
      <c r="B360" s="5" t="s">
        <v>1396</v>
      </c>
      <c r="C360" s="5" t="s">
        <v>1397</v>
      </c>
      <c r="D360" s="5" t="s">
        <v>241</v>
      </c>
      <c r="E360" s="5" t="s">
        <v>241</v>
      </c>
      <c r="F360" s="5" t="s">
        <v>241</v>
      </c>
      <c r="G360" s="5" t="s">
        <v>138</v>
      </c>
      <c r="H360" s="5" t="s">
        <v>1398</v>
      </c>
      <c r="I360" s="7">
        <v>46099</v>
      </c>
      <c r="J360" s="5"/>
      <c r="L360" s="5" t="s">
        <v>2474</v>
      </c>
      <c r="N360" s="55"/>
    </row>
    <row r="361" spans="1:14" s="6" customFormat="1" hidden="1" x14ac:dyDescent="0.35">
      <c r="A361" s="5" t="s">
        <v>1399</v>
      </c>
      <c r="B361" s="5" t="s">
        <v>1400</v>
      </c>
      <c r="C361" s="5" t="s">
        <v>1401</v>
      </c>
      <c r="D361" s="5" t="s">
        <v>241</v>
      </c>
      <c r="E361" s="5" t="s">
        <v>241</v>
      </c>
      <c r="F361" s="5" t="s">
        <v>241</v>
      </c>
      <c r="G361" s="5" t="s">
        <v>39</v>
      </c>
      <c r="H361" s="5" t="s">
        <v>884</v>
      </c>
      <c r="I361" s="7">
        <v>46101</v>
      </c>
      <c r="J361" s="5"/>
      <c r="L361" s="5" t="s">
        <v>2474</v>
      </c>
      <c r="N361" s="55"/>
    </row>
    <row r="362" spans="1:14" s="6" customFormat="1" hidden="1" x14ac:dyDescent="0.35">
      <c r="A362" s="5" t="s">
        <v>1402</v>
      </c>
      <c r="B362" s="5" t="s">
        <v>1403</v>
      </c>
      <c r="C362" s="5" t="s">
        <v>1404</v>
      </c>
      <c r="D362" s="5" t="s">
        <v>241</v>
      </c>
      <c r="E362" s="5" t="s">
        <v>241</v>
      </c>
      <c r="F362" s="5" t="s">
        <v>241</v>
      </c>
      <c r="G362" s="5" t="s">
        <v>39</v>
      </c>
      <c r="H362" s="5" t="s">
        <v>1405</v>
      </c>
      <c r="I362" s="7">
        <v>46100</v>
      </c>
      <c r="J362" s="5"/>
      <c r="L362" s="5" t="s">
        <v>2474</v>
      </c>
      <c r="N362" s="55"/>
    </row>
    <row r="363" spans="1:14" s="6" customFormat="1" hidden="1" x14ac:dyDescent="0.35">
      <c r="A363" s="5" t="s">
        <v>1406</v>
      </c>
      <c r="B363" s="5" t="s">
        <v>1407</v>
      </c>
      <c r="C363" s="5" t="s">
        <v>1408</v>
      </c>
      <c r="D363" s="5" t="s">
        <v>241</v>
      </c>
      <c r="E363" s="5" t="s">
        <v>241</v>
      </c>
      <c r="F363" s="5" t="s">
        <v>241</v>
      </c>
      <c r="G363" s="5" t="s">
        <v>702</v>
      </c>
      <c r="H363" s="5" t="s">
        <v>1409</v>
      </c>
      <c r="I363" s="7">
        <v>46104</v>
      </c>
      <c r="J363" s="5"/>
      <c r="L363" s="5" t="s">
        <v>2474</v>
      </c>
      <c r="N363" s="55"/>
    </row>
    <row r="364" spans="1:14" s="1" customFormat="1" hidden="1" x14ac:dyDescent="0.35">
      <c r="A364" s="5" t="s">
        <v>1410</v>
      </c>
      <c r="B364" s="2" t="s">
        <v>1411</v>
      </c>
      <c r="C364" s="2" t="s">
        <v>1412</v>
      </c>
      <c r="D364" s="2" t="s">
        <v>37</v>
      </c>
      <c r="E364" s="26" t="s">
        <v>2476</v>
      </c>
      <c r="F364" s="2" t="s">
        <v>101</v>
      </c>
      <c r="G364" s="2"/>
      <c r="H364" s="2" t="s">
        <v>115</v>
      </c>
      <c r="I364" s="24">
        <v>46104</v>
      </c>
      <c r="J364" s="2"/>
      <c r="K364" s="25"/>
      <c r="L364" s="2" t="s">
        <v>2473</v>
      </c>
      <c r="M364" s="25"/>
      <c r="N364" s="56"/>
    </row>
    <row r="365" spans="1:14" s="1" customFormat="1" hidden="1" x14ac:dyDescent="0.35">
      <c r="A365" s="5" t="s">
        <v>1413</v>
      </c>
      <c r="B365" s="5" t="s">
        <v>1414</v>
      </c>
      <c r="C365" s="5" t="s">
        <v>1415</v>
      </c>
      <c r="D365" s="5" t="s">
        <v>29</v>
      </c>
      <c r="E365" s="5" t="s">
        <v>395</v>
      </c>
      <c r="F365" s="2" t="s">
        <v>395</v>
      </c>
      <c r="G365" s="5"/>
      <c r="H365" s="5" t="s">
        <v>1380</v>
      </c>
      <c r="I365" s="7">
        <v>46105</v>
      </c>
      <c r="J365" s="6" t="s">
        <v>807</v>
      </c>
      <c r="K365" s="6" t="s">
        <v>33</v>
      </c>
      <c r="L365" s="5" t="s">
        <v>2472</v>
      </c>
      <c r="M365" s="25"/>
      <c r="N365" s="56"/>
    </row>
    <row r="366" spans="1:14" s="1" customFormat="1" hidden="1" x14ac:dyDescent="0.35">
      <c r="A366" s="5" t="s">
        <v>1416</v>
      </c>
      <c r="B366" s="5" t="s">
        <v>1417</v>
      </c>
      <c r="C366" s="5" t="s">
        <v>1418</v>
      </c>
      <c r="D366" s="5" t="s">
        <v>29</v>
      </c>
      <c r="E366" s="5" t="s">
        <v>395</v>
      </c>
      <c r="F366" s="2" t="s">
        <v>395</v>
      </c>
      <c r="G366" s="6"/>
      <c r="H366" s="5" t="s">
        <v>187</v>
      </c>
      <c r="I366" s="7">
        <v>46108</v>
      </c>
      <c r="J366" s="6" t="s">
        <v>56</v>
      </c>
      <c r="K366" s="6" t="s">
        <v>33</v>
      </c>
      <c r="L366" s="25" t="s">
        <v>2475</v>
      </c>
      <c r="M366" s="25"/>
      <c r="N366" s="56"/>
    </row>
    <row r="367" spans="1:14" s="1" customFormat="1" hidden="1" x14ac:dyDescent="0.35">
      <c r="A367" s="5" t="s">
        <v>1419</v>
      </c>
      <c r="B367" s="5" t="s">
        <v>1420</v>
      </c>
      <c r="C367" s="5" t="s">
        <v>1421</v>
      </c>
      <c r="D367" s="5" t="s">
        <v>29</v>
      </c>
      <c r="E367" s="5" t="s">
        <v>395</v>
      </c>
      <c r="F367" s="2" t="s">
        <v>395</v>
      </c>
      <c r="G367" s="5"/>
      <c r="H367" s="5" t="s">
        <v>1422</v>
      </c>
      <c r="I367" s="7">
        <v>46111</v>
      </c>
      <c r="J367" s="6" t="s">
        <v>56</v>
      </c>
      <c r="K367" s="6" t="s">
        <v>33</v>
      </c>
      <c r="L367" s="5" t="s">
        <v>2472</v>
      </c>
      <c r="M367" s="25"/>
      <c r="N367" s="56"/>
    </row>
    <row r="368" spans="1:14" s="6" customFormat="1" hidden="1" x14ac:dyDescent="0.35">
      <c r="A368" s="5" t="s">
        <v>1423</v>
      </c>
      <c r="B368" s="5" t="s">
        <v>1424</v>
      </c>
      <c r="C368" s="5" t="s">
        <v>1425</v>
      </c>
      <c r="D368" s="5" t="s">
        <v>241</v>
      </c>
      <c r="E368" s="5" t="s">
        <v>241</v>
      </c>
      <c r="F368" s="5" t="s">
        <v>241</v>
      </c>
      <c r="G368" s="5" t="s">
        <v>138</v>
      </c>
      <c r="H368" s="5" t="s">
        <v>187</v>
      </c>
      <c r="I368" s="7">
        <v>46111</v>
      </c>
      <c r="J368" s="5"/>
      <c r="L368" s="5" t="s">
        <v>2474</v>
      </c>
      <c r="N368" s="55"/>
    </row>
    <row r="369" spans="1:14" s="1" customFormat="1" hidden="1" x14ac:dyDescent="0.35">
      <c r="A369" s="5" t="s">
        <v>1426</v>
      </c>
      <c r="B369" s="2" t="s">
        <v>1427</v>
      </c>
      <c r="C369" s="2" t="s">
        <v>1428</v>
      </c>
      <c r="D369" s="2" t="s">
        <v>37</v>
      </c>
      <c r="E369" s="26" t="s">
        <v>2476</v>
      </c>
      <c r="F369" s="2" t="s">
        <v>3606</v>
      </c>
      <c r="G369" s="2"/>
      <c r="H369" s="2" t="s">
        <v>230</v>
      </c>
      <c r="I369" s="24">
        <v>46111</v>
      </c>
      <c r="J369" s="2"/>
      <c r="K369" s="25"/>
      <c r="L369" s="2" t="s">
        <v>2473</v>
      </c>
      <c r="M369" s="25"/>
      <c r="N369" s="56"/>
    </row>
    <row r="370" spans="1:14" s="1" customFormat="1" hidden="1" x14ac:dyDescent="0.35">
      <c r="A370" s="5" t="s">
        <v>1429</v>
      </c>
      <c r="B370" s="2" t="s">
        <v>1430</v>
      </c>
      <c r="C370" s="2" t="s">
        <v>1431</v>
      </c>
      <c r="D370" s="2" t="s">
        <v>20</v>
      </c>
      <c r="E370" s="2" t="s">
        <v>20</v>
      </c>
      <c r="F370" s="2" t="s">
        <v>20</v>
      </c>
      <c r="G370" s="2" t="s">
        <v>157</v>
      </c>
      <c r="H370" s="2" t="s">
        <v>1432</v>
      </c>
      <c r="I370" s="24">
        <v>46113</v>
      </c>
      <c r="J370" s="2"/>
      <c r="K370" s="25"/>
      <c r="L370" s="2" t="s">
        <v>2473</v>
      </c>
      <c r="M370" s="25"/>
      <c r="N370" s="56"/>
    </row>
    <row r="371" spans="1:14" s="1" customFormat="1" hidden="1" x14ac:dyDescent="0.35">
      <c r="A371" s="5" t="s">
        <v>1433</v>
      </c>
      <c r="B371" s="2" t="s">
        <v>1434</v>
      </c>
      <c r="C371" s="2" t="s">
        <v>1435</v>
      </c>
      <c r="D371" s="2" t="s">
        <v>20</v>
      </c>
      <c r="E371" s="2" t="s">
        <v>20</v>
      </c>
      <c r="F371" s="2" t="s">
        <v>20</v>
      </c>
      <c r="G371" s="2" t="s">
        <v>572</v>
      </c>
      <c r="H371" s="2" t="s">
        <v>573</v>
      </c>
      <c r="I371" s="24">
        <v>46112</v>
      </c>
      <c r="J371" s="2"/>
      <c r="K371" s="25"/>
      <c r="L371" s="2" t="s">
        <v>2473</v>
      </c>
      <c r="M371" s="25"/>
      <c r="N371" s="56"/>
    </row>
    <row r="372" spans="1:14" s="6" customFormat="1" hidden="1" x14ac:dyDescent="0.35">
      <c r="A372" s="5" t="s">
        <v>1436</v>
      </c>
      <c r="B372" s="5" t="s">
        <v>1437</v>
      </c>
      <c r="C372" s="5" t="s">
        <v>1438</v>
      </c>
      <c r="D372" s="5" t="s">
        <v>241</v>
      </c>
      <c r="E372" s="5" t="s">
        <v>241</v>
      </c>
      <c r="F372" s="5" t="s">
        <v>241</v>
      </c>
      <c r="G372" s="5" t="s">
        <v>702</v>
      </c>
      <c r="H372" s="5" t="s">
        <v>1439</v>
      </c>
      <c r="I372" s="7">
        <v>46108</v>
      </c>
      <c r="J372" s="5"/>
      <c r="L372" s="5" t="s">
        <v>2474</v>
      </c>
      <c r="N372" s="55"/>
    </row>
    <row r="373" spans="1:14" s="1" customFormat="1" hidden="1" x14ac:dyDescent="0.35">
      <c r="A373" s="5" t="s">
        <v>1440</v>
      </c>
      <c r="B373" s="5" t="s">
        <v>1441</v>
      </c>
      <c r="C373" s="5" t="s">
        <v>1442</v>
      </c>
      <c r="D373" s="5" t="s">
        <v>29</v>
      </c>
      <c r="E373" s="5" t="s">
        <v>395</v>
      </c>
      <c r="F373" s="2" t="s">
        <v>395</v>
      </c>
      <c r="G373" s="6"/>
      <c r="H373" s="5" t="s">
        <v>187</v>
      </c>
      <c r="I373" s="7">
        <v>46119</v>
      </c>
      <c r="J373" s="6" t="s">
        <v>1352</v>
      </c>
      <c r="K373" s="6" t="s">
        <v>33</v>
      </c>
      <c r="L373" s="25" t="s">
        <v>2475</v>
      </c>
      <c r="M373" s="25"/>
      <c r="N373" s="56"/>
    </row>
    <row r="374" spans="1:14" s="1" customFormat="1" hidden="1" x14ac:dyDescent="0.35">
      <c r="A374" s="5" t="s">
        <v>1443</v>
      </c>
      <c r="B374" s="5" t="s">
        <v>1444</v>
      </c>
      <c r="C374" s="5" t="s">
        <v>1445</v>
      </c>
      <c r="D374" s="5" t="s">
        <v>29</v>
      </c>
      <c r="E374" s="5" t="s">
        <v>395</v>
      </c>
      <c r="F374" s="2" t="s">
        <v>395</v>
      </c>
      <c r="G374" s="6"/>
      <c r="H374" s="5" t="s">
        <v>1200</v>
      </c>
      <c r="I374" s="7">
        <v>46118</v>
      </c>
      <c r="J374" s="6" t="s">
        <v>807</v>
      </c>
      <c r="K374" s="6" t="s">
        <v>33</v>
      </c>
      <c r="L374" s="25" t="s">
        <v>2475</v>
      </c>
      <c r="M374" s="25"/>
      <c r="N374" s="56"/>
    </row>
    <row r="375" spans="1:14" s="1" customFormat="1" hidden="1" x14ac:dyDescent="0.35">
      <c r="A375" s="5" t="s">
        <v>1446</v>
      </c>
      <c r="B375" s="5" t="s">
        <v>1447</v>
      </c>
      <c r="C375" s="5" t="s">
        <v>1448</v>
      </c>
      <c r="D375" s="5" t="s">
        <v>29</v>
      </c>
      <c r="E375" s="5" t="s">
        <v>395</v>
      </c>
      <c r="F375" s="2" t="s">
        <v>395</v>
      </c>
      <c r="G375" s="6"/>
      <c r="H375" s="5" t="s">
        <v>1449</v>
      </c>
      <c r="I375" s="7">
        <v>46118</v>
      </c>
      <c r="J375" s="6" t="s">
        <v>3622</v>
      </c>
      <c r="K375" s="6" t="s">
        <v>18</v>
      </c>
      <c r="L375" s="25" t="s">
        <v>2473</v>
      </c>
      <c r="M375" s="25"/>
      <c r="N375" s="56"/>
    </row>
    <row r="376" spans="1:14" s="1" customFormat="1" hidden="1" x14ac:dyDescent="0.35">
      <c r="A376" s="5" t="s">
        <v>1450</v>
      </c>
      <c r="B376" s="5" t="s">
        <v>1451</v>
      </c>
      <c r="C376" s="5" t="s">
        <v>1452</v>
      </c>
      <c r="D376" s="5" t="s">
        <v>29</v>
      </c>
      <c r="E376" s="5" t="s">
        <v>395</v>
      </c>
      <c r="F376" s="2" t="s">
        <v>395</v>
      </c>
      <c r="G376" s="5"/>
      <c r="H376" s="5" t="s">
        <v>1422</v>
      </c>
      <c r="I376" s="7">
        <v>46118</v>
      </c>
      <c r="J376" s="6" t="s">
        <v>56</v>
      </c>
      <c r="K376" s="6" t="s">
        <v>33</v>
      </c>
      <c r="L376" s="5" t="s">
        <v>2472</v>
      </c>
      <c r="M376" s="25"/>
      <c r="N376" s="56"/>
    </row>
    <row r="377" spans="1:14" s="6" customFormat="1" hidden="1" x14ac:dyDescent="0.35">
      <c r="A377" s="5" t="s">
        <v>1453</v>
      </c>
      <c r="B377" s="5" t="s">
        <v>1454</v>
      </c>
      <c r="C377" s="5" t="s">
        <v>1455</v>
      </c>
      <c r="D377" s="5" t="s">
        <v>241</v>
      </c>
      <c r="E377" s="5" t="s">
        <v>241</v>
      </c>
      <c r="F377" s="5" t="s">
        <v>241</v>
      </c>
      <c r="G377" s="5" t="s">
        <v>1026</v>
      </c>
      <c r="H377" s="5" t="s">
        <v>1456</v>
      </c>
      <c r="I377" s="7">
        <v>46119</v>
      </c>
      <c r="J377" s="5"/>
      <c r="L377" s="5" t="s">
        <v>2474</v>
      </c>
      <c r="N377" s="55"/>
    </row>
    <row r="378" spans="1:14" s="6" customFormat="1" hidden="1" x14ac:dyDescent="0.35">
      <c r="A378" s="5" t="s">
        <v>1457</v>
      </c>
      <c r="B378" s="5" t="s">
        <v>1458</v>
      </c>
      <c r="C378" s="5" t="s">
        <v>1459</v>
      </c>
      <c r="D378" s="5" t="s">
        <v>241</v>
      </c>
      <c r="E378" s="5" t="s">
        <v>241</v>
      </c>
      <c r="F378" s="5" t="s">
        <v>241</v>
      </c>
      <c r="G378" s="5" t="s">
        <v>702</v>
      </c>
      <c r="H378" s="5" t="s">
        <v>1460</v>
      </c>
      <c r="I378" s="7">
        <v>46118</v>
      </c>
      <c r="J378" s="5"/>
      <c r="L378" s="5" t="s">
        <v>2474</v>
      </c>
      <c r="N378" s="55"/>
    </row>
    <row r="379" spans="1:14" s="6" customFormat="1" hidden="1" x14ac:dyDescent="0.35">
      <c r="A379" s="5" t="s">
        <v>1461</v>
      </c>
      <c r="B379" s="5" t="s">
        <v>1462</v>
      </c>
      <c r="C379" s="5" t="s">
        <v>1463</v>
      </c>
      <c r="D379" s="5" t="s">
        <v>241</v>
      </c>
      <c r="E379" s="5" t="s">
        <v>241</v>
      </c>
      <c r="F379" s="5" t="s">
        <v>241</v>
      </c>
      <c r="G379" s="5" t="s">
        <v>282</v>
      </c>
      <c r="H379" s="5" t="s">
        <v>1464</v>
      </c>
      <c r="I379" s="7">
        <v>46118</v>
      </c>
      <c r="J379" s="5"/>
      <c r="L379" s="5" t="s">
        <v>2474</v>
      </c>
      <c r="N379" s="55"/>
    </row>
    <row r="380" spans="1:14" s="1" customFormat="1" hidden="1" x14ac:dyDescent="0.35">
      <c r="A380" s="5" t="s">
        <v>1465</v>
      </c>
      <c r="B380" s="2" t="s">
        <v>1466</v>
      </c>
      <c r="C380" s="2" t="s">
        <v>1467</v>
      </c>
      <c r="D380" s="2" t="s">
        <v>37</v>
      </c>
      <c r="E380" s="26" t="s">
        <v>2476</v>
      </c>
      <c r="F380" s="2" t="s">
        <v>3606</v>
      </c>
      <c r="G380" s="2"/>
      <c r="H380" s="2" t="s">
        <v>370</v>
      </c>
      <c r="I380" s="24">
        <v>46125</v>
      </c>
      <c r="J380" s="2"/>
      <c r="K380" s="25"/>
      <c r="L380" s="2" t="s">
        <v>2473</v>
      </c>
      <c r="M380" s="25"/>
      <c r="N380" s="56"/>
    </row>
    <row r="381" spans="1:14" s="1" customFormat="1" hidden="1" x14ac:dyDescent="0.35">
      <c r="A381" s="5" t="s">
        <v>1468</v>
      </c>
      <c r="B381" s="2" t="s">
        <v>1469</v>
      </c>
      <c r="C381" s="2" t="s">
        <v>1470</v>
      </c>
      <c r="D381" s="2" t="s">
        <v>37</v>
      </c>
      <c r="E381" s="26" t="s">
        <v>2476</v>
      </c>
      <c r="F381" s="2" t="s">
        <v>3606</v>
      </c>
      <c r="G381" s="2"/>
      <c r="H381" s="2" t="s">
        <v>370</v>
      </c>
      <c r="I381" s="24">
        <v>46128</v>
      </c>
      <c r="J381" s="2"/>
      <c r="K381" s="25"/>
      <c r="L381" s="2" t="s">
        <v>2473</v>
      </c>
      <c r="M381" s="25"/>
      <c r="N381" s="56"/>
    </row>
    <row r="382" spans="1:14" s="1" customFormat="1" hidden="1" x14ac:dyDescent="0.35">
      <c r="A382" s="5" t="s">
        <v>1471</v>
      </c>
      <c r="B382" s="2" t="s">
        <v>1472</v>
      </c>
      <c r="C382" s="2" t="s">
        <v>1473</v>
      </c>
      <c r="D382" s="2" t="s">
        <v>37</v>
      </c>
      <c r="E382" s="26" t="s">
        <v>2476</v>
      </c>
      <c r="F382" s="2" t="s">
        <v>3606</v>
      </c>
      <c r="G382" s="2"/>
      <c r="H382" s="2" t="s">
        <v>370</v>
      </c>
      <c r="I382" s="24">
        <v>46132</v>
      </c>
      <c r="J382" s="2"/>
      <c r="K382" s="25"/>
      <c r="L382" s="2" t="s">
        <v>2473</v>
      </c>
      <c r="M382" s="25"/>
      <c r="N382" s="56"/>
    </row>
    <row r="383" spans="1:14" s="1" customFormat="1" hidden="1" x14ac:dyDescent="0.35">
      <c r="A383" s="5" t="s">
        <v>1474</v>
      </c>
      <c r="B383" s="5" t="s">
        <v>1475</v>
      </c>
      <c r="C383" s="5" t="s">
        <v>1476</v>
      </c>
      <c r="D383" s="5" t="s">
        <v>29</v>
      </c>
      <c r="E383" s="5" t="s">
        <v>395</v>
      </c>
      <c r="F383" s="2" t="s">
        <v>395</v>
      </c>
      <c r="G383" s="5"/>
      <c r="H383" s="5" t="s">
        <v>187</v>
      </c>
      <c r="I383" s="7">
        <v>46125</v>
      </c>
      <c r="J383" s="6" t="s">
        <v>807</v>
      </c>
      <c r="K383" s="6" t="s">
        <v>33</v>
      </c>
      <c r="L383" s="5" t="s">
        <v>2472</v>
      </c>
      <c r="M383" s="25"/>
      <c r="N383" s="56"/>
    </row>
    <row r="384" spans="1:14" s="6" customFormat="1" hidden="1" x14ac:dyDescent="0.35">
      <c r="A384" s="5" t="s">
        <v>1477</v>
      </c>
      <c r="B384" s="5" t="s">
        <v>1478</v>
      </c>
      <c r="C384" s="5" t="s">
        <v>1479</v>
      </c>
      <c r="D384" s="5" t="s">
        <v>241</v>
      </c>
      <c r="E384" s="5" t="s">
        <v>241</v>
      </c>
      <c r="F384" s="5" t="s">
        <v>241</v>
      </c>
      <c r="G384" s="5" t="s">
        <v>39</v>
      </c>
      <c r="H384" s="5" t="s">
        <v>1480</v>
      </c>
      <c r="I384" s="7">
        <v>46118</v>
      </c>
      <c r="J384" s="5"/>
      <c r="L384" s="5" t="s">
        <v>2474</v>
      </c>
      <c r="N384" s="55"/>
    </row>
    <row r="385" spans="1:14" s="1" customFormat="1" hidden="1" x14ac:dyDescent="0.35">
      <c r="A385" s="5" t="s">
        <v>1481</v>
      </c>
      <c r="B385" s="5" t="s">
        <v>1482</v>
      </c>
      <c r="C385" s="5" t="s">
        <v>1483</v>
      </c>
      <c r="D385" s="5" t="s">
        <v>29</v>
      </c>
      <c r="E385" s="5" t="s">
        <v>395</v>
      </c>
      <c r="F385" s="2" t="s">
        <v>395</v>
      </c>
      <c r="G385" s="6"/>
      <c r="H385" s="5" t="s">
        <v>1484</v>
      </c>
      <c r="I385" s="7">
        <v>46096</v>
      </c>
      <c r="J385" s="6" t="s">
        <v>56</v>
      </c>
      <c r="K385" s="6" t="s">
        <v>33</v>
      </c>
      <c r="L385" s="25" t="s">
        <v>2473</v>
      </c>
      <c r="M385" s="25"/>
      <c r="N385" s="56"/>
    </row>
    <row r="386" spans="1:14" s="1" customFormat="1" hidden="1" x14ac:dyDescent="0.35">
      <c r="A386" s="5" t="s">
        <v>1485</v>
      </c>
      <c r="B386" s="5" t="s">
        <v>1486</v>
      </c>
      <c r="C386" s="5" t="s">
        <v>1487</v>
      </c>
      <c r="D386" s="5" t="s">
        <v>29</v>
      </c>
      <c r="E386" s="5" t="s">
        <v>395</v>
      </c>
      <c r="F386" s="2" t="s">
        <v>395</v>
      </c>
      <c r="G386" s="6"/>
      <c r="H386" s="5" t="s">
        <v>1488</v>
      </c>
      <c r="I386" s="7">
        <v>46133</v>
      </c>
      <c r="J386" s="6" t="s">
        <v>807</v>
      </c>
      <c r="K386" s="6" t="s">
        <v>33</v>
      </c>
      <c r="L386" s="25" t="s">
        <v>2475</v>
      </c>
      <c r="M386" s="25"/>
      <c r="N386" s="56"/>
    </row>
    <row r="387" spans="1:14" s="1" customFormat="1" hidden="1" x14ac:dyDescent="0.35">
      <c r="A387" s="5" t="s">
        <v>1489</v>
      </c>
      <c r="B387" s="5" t="s">
        <v>1490</v>
      </c>
      <c r="C387" s="5" t="s">
        <v>1491</v>
      </c>
      <c r="D387" s="5" t="s">
        <v>29</v>
      </c>
      <c r="E387" s="5" t="s">
        <v>395</v>
      </c>
      <c r="F387" s="2" t="s">
        <v>395</v>
      </c>
      <c r="G387" s="6"/>
      <c r="H387" s="5" t="s">
        <v>1492</v>
      </c>
      <c r="I387" s="7">
        <v>46136</v>
      </c>
      <c r="J387" s="6" t="s">
        <v>807</v>
      </c>
      <c r="K387" s="6" t="s">
        <v>33</v>
      </c>
      <c r="L387" s="25" t="s">
        <v>2472</v>
      </c>
      <c r="M387" s="25"/>
      <c r="N387" s="56"/>
    </row>
    <row r="388" spans="1:14" s="6" customFormat="1" hidden="1" x14ac:dyDescent="0.35">
      <c r="A388" s="5" t="s">
        <v>1497</v>
      </c>
      <c r="B388" s="5" t="s">
        <v>1498</v>
      </c>
      <c r="C388" s="5" t="s">
        <v>1499</v>
      </c>
      <c r="D388" s="5" t="s">
        <v>241</v>
      </c>
      <c r="E388" s="5" t="s">
        <v>241</v>
      </c>
      <c r="F388" s="5" t="s">
        <v>241</v>
      </c>
      <c r="G388" s="5" t="s">
        <v>63</v>
      </c>
      <c r="H388" s="5" t="s">
        <v>1500</v>
      </c>
      <c r="I388" s="7">
        <v>46132</v>
      </c>
      <c r="J388" s="5"/>
      <c r="L388" s="5" t="s">
        <v>2474</v>
      </c>
      <c r="N388" s="55"/>
    </row>
    <row r="389" spans="1:14" s="6" customFormat="1" hidden="1" x14ac:dyDescent="0.35">
      <c r="A389" s="5" t="s">
        <v>1501</v>
      </c>
      <c r="B389" s="5" t="s">
        <v>1502</v>
      </c>
      <c r="C389" s="5" t="s">
        <v>1503</v>
      </c>
      <c r="D389" s="5" t="s">
        <v>241</v>
      </c>
      <c r="E389" s="5" t="s">
        <v>241</v>
      </c>
      <c r="F389" s="5" t="s">
        <v>241</v>
      </c>
      <c r="G389" s="5" t="s">
        <v>63</v>
      </c>
      <c r="H389" s="5" t="s">
        <v>1500</v>
      </c>
      <c r="I389" s="7">
        <v>46132</v>
      </c>
      <c r="J389" s="5"/>
      <c r="L389" s="5" t="s">
        <v>2474</v>
      </c>
      <c r="N389" s="55"/>
    </row>
    <row r="390" spans="1:14" s="6" customFormat="1" hidden="1" x14ac:dyDescent="0.35">
      <c r="A390" s="5" t="s">
        <v>1504</v>
      </c>
      <c r="B390" s="5" t="s">
        <v>1505</v>
      </c>
      <c r="C390" s="5" t="s">
        <v>1506</v>
      </c>
      <c r="D390" s="5" t="s">
        <v>241</v>
      </c>
      <c r="E390" s="5" t="s">
        <v>241</v>
      </c>
      <c r="F390" s="5" t="s">
        <v>241</v>
      </c>
      <c r="G390" s="5" t="s">
        <v>63</v>
      </c>
      <c r="H390" s="5" t="s">
        <v>1500</v>
      </c>
      <c r="I390" s="7">
        <v>46132</v>
      </c>
      <c r="J390" s="5"/>
      <c r="L390" s="5" t="s">
        <v>2474</v>
      </c>
      <c r="N390" s="55"/>
    </row>
    <row r="391" spans="1:14" s="6" customFormat="1" hidden="1" x14ac:dyDescent="0.35">
      <c r="A391" s="5" t="s">
        <v>1507</v>
      </c>
      <c r="B391" s="5" t="s">
        <v>1508</v>
      </c>
      <c r="C391" s="5" t="s">
        <v>1509</v>
      </c>
      <c r="D391" s="5" t="s">
        <v>241</v>
      </c>
      <c r="E391" s="5" t="s">
        <v>241</v>
      </c>
      <c r="F391" s="5" t="s">
        <v>241</v>
      </c>
      <c r="G391" s="5" t="s">
        <v>63</v>
      </c>
      <c r="H391" s="5" t="s">
        <v>1510</v>
      </c>
      <c r="I391" s="7">
        <v>46132</v>
      </c>
      <c r="J391" s="5"/>
      <c r="L391" s="5" t="s">
        <v>2474</v>
      </c>
      <c r="N391" s="55"/>
    </row>
    <row r="392" spans="1:14" s="6" customFormat="1" hidden="1" x14ac:dyDescent="0.35">
      <c r="A392" s="5" t="s">
        <v>1511</v>
      </c>
      <c r="B392" s="5" t="s">
        <v>1512</v>
      </c>
      <c r="C392" s="5" t="s">
        <v>1513</v>
      </c>
      <c r="D392" s="5" t="s">
        <v>241</v>
      </c>
      <c r="E392" s="5" t="s">
        <v>241</v>
      </c>
      <c r="F392" s="5" t="s">
        <v>241</v>
      </c>
      <c r="G392" s="5" t="s">
        <v>702</v>
      </c>
      <c r="H392" s="5" t="s">
        <v>1514</v>
      </c>
      <c r="I392" s="7">
        <v>46132</v>
      </c>
      <c r="J392" s="5"/>
      <c r="L392" s="5" t="s">
        <v>2474</v>
      </c>
      <c r="N392" s="55"/>
    </row>
    <row r="393" spans="1:14" s="6" customFormat="1" hidden="1" x14ac:dyDescent="0.35">
      <c r="A393" s="5" t="s">
        <v>1515</v>
      </c>
      <c r="B393" s="5" t="s">
        <v>1516</v>
      </c>
      <c r="C393" s="5" t="s">
        <v>1517</v>
      </c>
      <c r="D393" s="5" t="s">
        <v>241</v>
      </c>
      <c r="E393" s="5" t="s">
        <v>241</v>
      </c>
      <c r="F393" s="5" t="s">
        <v>241</v>
      </c>
      <c r="G393" s="5" t="s">
        <v>1171</v>
      </c>
      <c r="H393" s="5" t="s">
        <v>1172</v>
      </c>
      <c r="I393" s="7">
        <v>46140</v>
      </c>
      <c r="J393" s="5"/>
      <c r="L393" s="5" t="s">
        <v>2474</v>
      </c>
      <c r="N393" s="55"/>
    </row>
    <row r="394" spans="1:14" s="1" customFormat="1" hidden="1" x14ac:dyDescent="0.35">
      <c r="A394" s="5" t="s">
        <v>1518</v>
      </c>
      <c r="B394" s="2" t="s">
        <v>1519</v>
      </c>
      <c r="C394" s="2" t="s">
        <v>1520</v>
      </c>
      <c r="D394" s="2" t="s">
        <v>37</v>
      </c>
      <c r="E394" s="26" t="s">
        <v>2476</v>
      </c>
      <c r="F394" s="2" t="s">
        <v>3606</v>
      </c>
      <c r="G394" s="2"/>
      <c r="H394" s="2" t="s">
        <v>370</v>
      </c>
      <c r="I394" s="24">
        <v>46139</v>
      </c>
      <c r="J394" s="2"/>
      <c r="K394" s="25"/>
      <c r="L394" s="2" t="s">
        <v>2473</v>
      </c>
      <c r="M394" s="25"/>
      <c r="N394" s="56"/>
    </row>
    <row r="395" spans="1:14" s="6" customFormat="1" hidden="1" x14ac:dyDescent="0.35">
      <c r="A395" s="5" t="s">
        <v>1521</v>
      </c>
      <c r="B395" s="5" t="s">
        <v>1522</v>
      </c>
      <c r="C395" s="5" t="s">
        <v>1523</v>
      </c>
      <c r="D395" s="5" t="s">
        <v>241</v>
      </c>
      <c r="E395" s="5" t="s">
        <v>241</v>
      </c>
      <c r="F395" s="5" t="s">
        <v>241</v>
      </c>
      <c r="G395" s="5" t="s">
        <v>138</v>
      </c>
      <c r="H395" s="5" t="s">
        <v>1524</v>
      </c>
      <c r="I395" s="7">
        <v>46141</v>
      </c>
      <c r="J395" s="5"/>
      <c r="L395" s="5" t="s">
        <v>2474</v>
      </c>
      <c r="N395" s="55"/>
    </row>
    <row r="396" spans="1:14" s="6" customFormat="1" hidden="1" x14ac:dyDescent="0.35">
      <c r="A396" s="5" t="s">
        <v>1525</v>
      </c>
      <c r="B396" s="5" t="s">
        <v>1526</v>
      </c>
      <c r="C396" s="5" t="s">
        <v>1527</v>
      </c>
      <c r="D396" s="5" t="s">
        <v>241</v>
      </c>
      <c r="E396" s="5" t="s">
        <v>241</v>
      </c>
      <c r="F396" s="5" t="s">
        <v>241</v>
      </c>
      <c r="G396" s="5" t="s">
        <v>702</v>
      </c>
      <c r="H396" s="5" t="s">
        <v>1528</v>
      </c>
      <c r="I396" s="7">
        <v>46139</v>
      </c>
      <c r="J396" s="5"/>
      <c r="L396" s="5" t="s">
        <v>2474</v>
      </c>
      <c r="N396" s="55"/>
    </row>
    <row r="397" spans="1:14" s="6" customFormat="1" hidden="1" x14ac:dyDescent="0.35">
      <c r="A397" s="5" t="s">
        <v>1529</v>
      </c>
      <c r="B397" s="5" t="s">
        <v>1530</v>
      </c>
      <c r="C397" s="5" t="s">
        <v>1531</v>
      </c>
      <c r="D397" s="5" t="s">
        <v>241</v>
      </c>
      <c r="E397" s="5" t="s">
        <v>241</v>
      </c>
      <c r="F397" s="5" t="s">
        <v>241</v>
      </c>
      <c r="G397" s="5" t="s">
        <v>39</v>
      </c>
      <c r="H397" s="5" t="s">
        <v>1532</v>
      </c>
      <c r="I397" s="7">
        <v>46139</v>
      </c>
      <c r="J397" s="5"/>
      <c r="L397" s="5" t="s">
        <v>2474</v>
      </c>
      <c r="N397" s="55"/>
    </row>
    <row r="398" spans="1:14" s="6" customFormat="1" hidden="1" x14ac:dyDescent="0.35">
      <c r="A398" s="5" t="s">
        <v>1533</v>
      </c>
      <c r="B398" s="5" t="s">
        <v>1534</v>
      </c>
      <c r="C398" s="5" t="s">
        <v>1535</v>
      </c>
      <c r="D398" s="5" t="s">
        <v>241</v>
      </c>
      <c r="E398" s="5" t="s">
        <v>241</v>
      </c>
      <c r="F398" s="5" t="s">
        <v>241</v>
      </c>
      <c r="G398" s="5" t="s">
        <v>138</v>
      </c>
      <c r="H398" s="5" t="s">
        <v>1536</v>
      </c>
      <c r="I398" s="7">
        <v>46182</v>
      </c>
      <c r="J398" s="5"/>
      <c r="L398" s="5" t="s">
        <v>2474</v>
      </c>
      <c r="N398" s="55"/>
    </row>
    <row r="399" spans="1:14" s="6" customFormat="1" hidden="1" x14ac:dyDescent="0.35">
      <c r="A399" s="5" t="s">
        <v>1537</v>
      </c>
      <c r="B399" s="5" t="s">
        <v>1538</v>
      </c>
      <c r="C399" s="5" t="s">
        <v>1539</v>
      </c>
      <c r="D399" s="5" t="s">
        <v>241</v>
      </c>
      <c r="E399" s="5" t="s">
        <v>241</v>
      </c>
      <c r="F399" s="5" t="s">
        <v>241</v>
      </c>
      <c r="G399" s="5" t="s">
        <v>1026</v>
      </c>
      <c r="H399" s="5" t="s">
        <v>1540</v>
      </c>
      <c r="I399" s="7">
        <v>46139</v>
      </c>
      <c r="J399" s="5"/>
      <c r="L399" s="5" t="s">
        <v>2474</v>
      </c>
      <c r="N399" s="55"/>
    </row>
    <row r="400" spans="1:14" s="1" customFormat="1" hidden="1" x14ac:dyDescent="0.35">
      <c r="A400" s="5" t="s">
        <v>1541</v>
      </c>
      <c r="B400" s="2" t="s">
        <v>1542</v>
      </c>
      <c r="C400" s="2" t="s">
        <v>1543</v>
      </c>
      <c r="D400" s="2" t="s">
        <v>20</v>
      </c>
      <c r="E400" s="2" t="s">
        <v>20</v>
      </c>
      <c r="F400" s="2" t="s">
        <v>20</v>
      </c>
      <c r="G400" s="2" t="s">
        <v>1544</v>
      </c>
      <c r="H400" s="2" t="s">
        <v>1545</v>
      </c>
      <c r="I400" s="24">
        <v>46146</v>
      </c>
      <c r="J400" s="2"/>
      <c r="K400" s="25"/>
      <c r="L400" s="2" t="s">
        <v>2473</v>
      </c>
      <c r="M400" s="25"/>
      <c r="N400" s="56"/>
    </row>
    <row r="401" spans="1:14" s="1" customFormat="1" hidden="1" x14ac:dyDescent="0.35">
      <c r="A401" s="5" t="s">
        <v>1546</v>
      </c>
      <c r="B401" s="5" t="s">
        <v>1547</v>
      </c>
      <c r="C401" s="5" t="s">
        <v>1548</v>
      </c>
      <c r="D401" s="5" t="s">
        <v>29</v>
      </c>
      <c r="E401" s="5" t="s">
        <v>395</v>
      </c>
      <c r="F401" s="2" t="s">
        <v>395</v>
      </c>
      <c r="G401" s="5"/>
      <c r="H401" s="5" t="s">
        <v>1549</v>
      </c>
      <c r="I401" s="7">
        <v>46146</v>
      </c>
      <c r="J401" s="6" t="s">
        <v>39</v>
      </c>
      <c r="K401" s="6" t="s">
        <v>33</v>
      </c>
      <c r="L401" s="5" t="s">
        <v>2472</v>
      </c>
      <c r="M401" s="25"/>
      <c r="N401" s="56"/>
    </row>
    <row r="402" spans="1:14" s="1" customFormat="1" hidden="1" x14ac:dyDescent="0.35">
      <c r="A402" s="5" t="s">
        <v>1550</v>
      </c>
      <c r="B402" s="2" t="s">
        <v>1551</v>
      </c>
      <c r="C402" s="2" t="s">
        <v>1552</v>
      </c>
      <c r="D402" s="2" t="s">
        <v>20</v>
      </c>
      <c r="E402" s="2" t="s">
        <v>20</v>
      </c>
      <c r="F402" s="2" t="s">
        <v>20</v>
      </c>
      <c r="G402" s="2" t="s">
        <v>157</v>
      </c>
      <c r="H402" s="2" t="s">
        <v>271</v>
      </c>
      <c r="I402" s="24">
        <v>46146</v>
      </c>
      <c r="J402" s="2"/>
      <c r="K402" s="25"/>
      <c r="L402" s="2" t="s">
        <v>2473</v>
      </c>
      <c r="M402" s="25"/>
      <c r="N402" s="56"/>
    </row>
    <row r="403" spans="1:14" s="1" customFormat="1" hidden="1" x14ac:dyDescent="0.35">
      <c r="A403" s="5" t="s">
        <v>1553</v>
      </c>
      <c r="B403" s="2" t="s">
        <v>1554</v>
      </c>
      <c r="C403" s="2" t="s">
        <v>1555</v>
      </c>
      <c r="D403" s="2" t="s">
        <v>20</v>
      </c>
      <c r="E403" s="2" t="s">
        <v>20</v>
      </c>
      <c r="F403" s="2" t="s">
        <v>20</v>
      </c>
      <c r="G403" s="2" t="s">
        <v>157</v>
      </c>
      <c r="H403" s="2" t="s">
        <v>1556</v>
      </c>
      <c r="I403" s="24">
        <v>46146</v>
      </c>
      <c r="J403" s="2"/>
      <c r="K403" s="25"/>
      <c r="L403" s="2" t="s">
        <v>2473</v>
      </c>
      <c r="M403" s="25"/>
      <c r="N403" s="56"/>
    </row>
    <row r="404" spans="1:14" s="6" customFormat="1" hidden="1" x14ac:dyDescent="0.35">
      <c r="A404" s="5" t="s">
        <v>1557</v>
      </c>
      <c r="B404" s="5" t="s">
        <v>1558</v>
      </c>
      <c r="C404" s="5" t="s">
        <v>1559</v>
      </c>
      <c r="D404" s="5" t="s">
        <v>241</v>
      </c>
      <c r="E404" s="5" t="s">
        <v>241</v>
      </c>
      <c r="F404" s="5" t="s">
        <v>241</v>
      </c>
      <c r="G404" s="5" t="s">
        <v>282</v>
      </c>
      <c r="H404" s="5" t="s">
        <v>1560</v>
      </c>
      <c r="I404" s="7">
        <v>46139</v>
      </c>
      <c r="J404" s="5"/>
      <c r="L404" s="5" t="s">
        <v>2474</v>
      </c>
      <c r="N404" s="55"/>
    </row>
    <row r="405" spans="1:14" s="6" customFormat="1" hidden="1" x14ac:dyDescent="0.35">
      <c r="A405" s="5" t="s">
        <v>1561</v>
      </c>
      <c r="B405" s="5" t="s">
        <v>1562</v>
      </c>
      <c r="C405" s="5" t="s">
        <v>1563</v>
      </c>
      <c r="D405" s="5" t="s">
        <v>241</v>
      </c>
      <c r="E405" s="5" t="s">
        <v>241</v>
      </c>
      <c r="F405" s="5" t="s">
        <v>241</v>
      </c>
      <c r="G405" s="5" t="s">
        <v>282</v>
      </c>
      <c r="H405" s="5" t="s">
        <v>1560</v>
      </c>
      <c r="I405" s="7">
        <v>46139</v>
      </c>
      <c r="J405" s="5"/>
      <c r="L405" s="5" t="s">
        <v>2474</v>
      </c>
      <c r="N405" s="55"/>
    </row>
    <row r="406" spans="1:14" s="6" customFormat="1" hidden="1" x14ac:dyDescent="0.35">
      <c r="A406" s="5" t="s">
        <v>1564</v>
      </c>
      <c r="B406" s="5" t="s">
        <v>1565</v>
      </c>
      <c r="C406" s="5" t="s">
        <v>1566</v>
      </c>
      <c r="D406" s="5" t="s">
        <v>241</v>
      </c>
      <c r="E406" s="5" t="s">
        <v>241</v>
      </c>
      <c r="F406" s="5" t="s">
        <v>241</v>
      </c>
      <c r="G406" s="5" t="s">
        <v>282</v>
      </c>
      <c r="H406" s="5" t="s">
        <v>1560</v>
      </c>
      <c r="I406" s="7">
        <v>46139</v>
      </c>
      <c r="J406" s="5"/>
      <c r="L406" s="5" t="s">
        <v>2474</v>
      </c>
      <c r="N406" s="55"/>
    </row>
    <row r="407" spans="1:14" s="1" customFormat="1" hidden="1" x14ac:dyDescent="0.35">
      <c r="A407" s="5" t="s">
        <v>1567</v>
      </c>
      <c r="B407" s="5" t="s">
        <v>1568</v>
      </c>
      <c r="C407" s="5" t="s">
        <v>1569</v>
      </c>
      <c r="D407" s="5" t="s">
        <v>29</v>
      </c>
      <c r="E407" s="5" t="s">
        <v>395</v>
      </c>
      <c r="F407" s="2" t="s">
        <v>395</v>
      </c>
      <c r="G407" s="5"/>
      <c r="H407" s="5" t="s">
        <v>1570</v>
      </c>
      <c r="I407" s="7">
        <v>46149</v>
      </c>
      <c r="J407" s="6" t="s">
        <v>620</v>
      </c>
      <c r="K407" s="6" t="s">
        <v>33</v>
      </c>
      <c r="L407" s="5" t="s">
        <v>2472</v>
      </c>
      <c r="M407" s="25"/>
      <c r="N407" s="56"/>
    </row>
    <row r="408" spans="1:14" s="6" customFormat="1" hidden="1" x14ac:dyDescent="0.35">
      <c r="A408" s="5" t="s">
        <v>1571</v>
      </c>
      <c r="B408" s="5" t="s">
        <v>1572</v>
      </c>
      <c r="C408" s="5" t="s">
        <v>1573</v>
      </c>
      <c r="D408" s="5" t="s">
        <v>241</v>
      </c>
      <c r="E408" s="5" t="s">
        <v>241</v>
      </c>
      <c r="F408" s="5" t="s">
        <v>241</v>
      </c>
      <c r="G408" s="5" t="s">
        <v>282</v>
      </c>
      <c r="H408" s="5" t="s">
        <v>1560</v>
      </c>
      <c r="I408" s="7">
        <v>46146</v>
      </c>
      <c r="J408" s="5"/>
      <c r="L408" s="5" t="s">
        <v>2474</v>
      </c>
      <c r="N408" s="55"/>
    </row>
    <row r="409" spans="1:14" s="6" customFormat="1" hidden="1" x14ac:dyDescent="0.35">
      <c r="A409" s="5" t="s">
        <v>1574</v>
      </c>
      <c r="B409" s="5" t="s">
        <v>1575</v>
      </c>
      <c r="C409" s="5" t="s">
        <v>1576</v>
      </c>
      <c r="D409" s="5" t="s">
        <v>241</v>
      </c>
      <c r="E409" s="5" t="s">
        <v>241</v>
      </c>
      <c r="F409" s="5" t="s">
        <v>241</v>
      </c>
      <c r="G409" s="5" t="s">
        <v>282</v>
      </c>
      <c r="H409" s="5" t="s">
        <v>1560</v>
      </c>
      <c r="I409" s="7">
        <v>46146</v>
      </c>
      <c r="J409" s="5"/>
      <c r="L409" s="5" t="s">
        <v>2474</v>
      </c>
      <c r="N409" s="55"/>
    </row>
    <row r="410" spans="1:14" s="6" customFormat="1" hidden="1" x14ac:dyDescent="0.35">
      <c r="A410" s="5" t="s">
        <v>1577</v>
      </c>
      <c r="B410" s="5" t="s">
        <v>1578</v>
      </c>
      <c r="C410" s="5" t="s">
        <v>1579</v>
      </c>
      <c r="D410" s="5" t="s">
        <v>241</v>
      </c>
      <c r="E410" s="5" t="s">
        <v>241</v>
      </c>
      <c r="F410" s="5" t="s">
        <v>241</v>
      </c>
      <c r="G410" s="5" t="s">
        <v>282</v>
      </c>
      <c r="H410" s="5" t="s">
        <v>1560</v>
      </c>
      <c r="I410" s="7">
        <v>46146</v>
      </c>
      <c r="J410" s="5"/>
      <c r="L410" s="5" t="s">
        <v>2474</v>
      </c>
      <c r="N410" s="55"/>
    </row>
    <row r="411" spans="1:14" s="6" customFormat="1" hidden="1" x14ac:dyDescent="0.35">
      <c r="A411" s="5" t="s">
        <v>1580</v>
      </c>
      <c r="B411" s="5" t="s">
        <v>1581</v>
      </c>
      <c r="C411" s="5" t="s">
        <v>1582</v>
      </c>
      <c r="D411" s="5" t="s">
        <v>241</v>
      </c>
      <c r="E411" s="5" t="s">
        <v>241</v>
      </c>
      <c r="F411" s="5" t="s">
        <v>241</v>
      </c>
      <c r="G411" s="5" t="s">
        <v>468</v>
      </c>
      <c r="H411" s="5" t="s">
        <v>1584</v>
      </c>
      <c r="I411" s="7">
        <v>46147</v>
      </c>
      <c r="J411" s="5"/>
      <c r="L411" s="5" t="s">
        <v>2474</v>
      </c>
      <c r="N411" s="55"/>
    </row>
    <row r="412" spans="1:14" s="6" customFormat="1" hidden="1" x14ac:dyDescent="0.35">
      <c r="A412" s="5" t="s">
        <v>1585</v>
      </c>
      <c r="B412" s="5" t="s">
        <v>1586</v>
      </c>
      <c r="C412" s="5" t="s">
        <v>1587</v>
      </c>
      <c r="D412" s="5" t="s">
        <v>241</v>
      </c>
      <c r="E412" s="5" t="s">
        <v>241</v>
      </c>
      <c r="F412" s="5" t="s">
        <v>241</v>
      </c>
      <c r="G412" s="5" t="s">
        <v>659</v>
      </c>
      <c r="H412" s="5" t="s">
        <v>1588</v>
      </c>
      <c r="I412" s="7">
        <v>46148</v>
      </c>
      <c r="J412" s="5"/>
      <c r="L412" s="5" t="s">
        <v>2474</v>
      </c>
      <c r="N412" s="55"/>
    </row>
    <row r="413" spans="1:14" s="6" customFormat="1" hidden="1" x14ac:dyDescent="0.35">
      <c r="A413" s="5" t="s">
        <v>1589</v>
      </c>
      <c r="B413" s="5" t="s">
        <v>1590</v>
      </c>
      <c r="C413" s="5" t="s">
        <v>1591</v>
      </c>
      <c r="D413" s="5" t="s">
        <v>241</v>
      </c>
      <c r="E413" s="5" t="s">
        <v>241</v>
      </c>
      <c r="F413" s="5" t="s">
        <v>241</v>
      </c>
      <c r="G413" s="5" t="s">
        <v>702</v>
      </c>
      <c r="H413" s="5" t="s">
        <v>1592</v>
      </c>
      <c r="I413" s="7">
        <v>46146</v>
      </c>
      <c r="J413" s="5"/>
      <c r="L413" s="5" t="s">
        <v>2474</v>
      </c>
      <c r="N413" s="55"/>
    </row>
    <row r="414" spans="1:14" s="6" customFormat="1" hidden="1" x14ac:dyDescent="0.35">
      <c r="A414" s="5" t="s">
        <v>1593</v>
      </c>
      <c r="B414" s="5" t="s">
        <v>1594</v>
      </c>
      <c r="C414" s="5" t="s">
        <v>1595</v>
      </c>
      <c r="D414" s="5" t="s">
        <v>241</v>
      </c>
      <c r="E414" s="5" t="s">
        <v>241</v>
      </c>
      <c r="F414" s="5" t="s">
        <v>241</v>
      </c>
      <c r="G414" s="5" t="s">
        <v>702</v>
      </c>
      <c r="H414" s="5" t="s">
        <v>1592</v>
      </c>
      <c r="I414" s="7">
        <v>46146</v>
      </c>
      <c r="J414" s="5"/>
      <c r="L414" s="5" t="s">
        <v>2474</v>
      </c>
      <c r="N414" s="55"/>
    </row>
    <row r="415" spans="1:14" s="6" customFormat="1" hidden="1" x14ac:dyDescent="0.35">
      <c r="A415" s="5" t="s">
        <v>1596</v>
      </c>
      <c r="B415" s="5" t="s">
        <v>1597</v>
      </c>
      <c r="C415" s="5" t="s">
        <v>1598</v>
      </c>
      <c r="D415" s="5" t="s">
        <v>241</v>
      </c>
      <c r="E415" s="5" t="s">
        <v>241</v>
      </c>
      <c r="F415" s="5" t="s">
        <v>241</v>
      </c>
      <c r="G415" s="5" t="s">
        <v>702</v>
      </c>
      <c r="H415" s="5" t="s">
        <v>1599</v>
      </c>
      <c r="I415" s="7">
        <v>46146</v>
      </c>
      <c r="J415" s="5"/>
      <c r="L415" s="5" t="s">
        <v>2474</v>
      </c>
      <c r="N415" s="55"/>
    </row>
    <row r="416" spans="1:14" s="6" customFormat="1" hidden="1" x14ac:dyDescent="0.35">
      <c r="A416" s="5" t="s">
        <v>1600</v>
      </c>
      <c r="B416" s="5" t="s">
        <v>1601</v>
      </c>
      <c r="C416" s="5" t="s">
        <v>1602</v>
      </c>
      <c r="D416" s="5" t="s">
        <v>241</v>
      </c>
      <c r="E416" s="5" t="s">
        <v>241</v>
      </c>
      <c r="F416" s="5" t="s">
        <v>241</v>
      </c>
      <c r="G416" s="5" t="s">
        <v>39</v>
      </c>
      <c r="H416" s="5" t="s">
        <v>1603</v>
      </c>
      <c r="I416" s="7">
        <v>46150</v>
      </c>
      <c r="J416" s="5"/>
      <c r="L416" s="5" t="s">
        <v>2474</v>
      </c>
      <c r="N416" s="55"/>
    </row>
    <row r="417" spans="1:14" s="6" customFormat="1" hidden="1" x14ac:dyDescent="0.35">
      <c r="A417" s="5" t="s">
        <v>1604</v>
      </c>
      <c r="B417" s="5" t="s">
        <v>1605</v>
      </c>
      <c r="C417" s="5" t="s">
        <v>1606</v>
      </c>
      <c r="D417" s="5" t="s">
        <v>241</v>
      </c>
      <c r="E417" s="5" t="s">
        <v>241</v>
      </c>
      <c r="F417" s="5" t="s">
        <v>241</v>
      </c>
      <c r="G417" s="5" t="s">
        <v>39</v>
      </c>
      <c r="H417" s="5" t="s">
        <v>1607</v>
      </c>
      <c r="I417" s="7">
        <v>46150</v>
      </c>
      <c r="J417" s="5"/>
      <c r="L417" s="5" t="s">
        <v>2474</v>
      </c>
      <c r="N417" s="55"/>
    </row>
    <row r="418" spans="1:14" s="6" customFormat="1" hidden="1" x14ac:dyDescent="0.35">
      <c r="A418" s="5" t="s">
        <v>1608</v>
      </c>
      <c r="B418" s="5" t="s">
        <v>1609</v>
      </c>
      <c r="C418" s="5" t="s">
        <v>1610</v>
      </c>
      <c r="D418" s="5" t="s">
        <v>241</v>
      </c>
      <c r="E418" s="5" t="s">
        <v>241</v>
      </c>
      <c r="F418" s="5" t="s">
        <v>241</v>
      </c>
      <c r="G418" s="5" t="s">
        <v>138</v>
      </c>
      <c r="H418" s="5" t="s">
        <v>1611</v>
      </c>
      <c r="I418" s="7">
        <v>46150</v>
      </c>
      <c r="J418" s="5"/>
      <c r="L418" s="5" t="s">
        <v>2474</v>
      </c>
      <c r="N418" s="55"/>
    </row>
    <row r="419" spans="1:14" s="6" customFormat="1" hidden="1" x14ac:dyDescent="0.35">
      <c r="A419" s="5" t="s">
        <v>1612</v>
      </c>
      <c r="B419" s="5" t="s">
        <v>1613</v>
      </c>
      <c r="C419" s="5" t="s">
        <v>1614</v>
      </c>
      <c r="D419" s="5" t="s">
        <v>241</v>
      </c>
      <c r="E419" s="5" t="s">
        <v>241</v>
      </c>
      <c r="F419" s="5" t="s">
        <v>241</v>
      </c>
      <c r="G419" s="5" t="s">
        <v>702</v>
      </c>
      <c r="H419" s="5" t="s">
        <v>1592</v>
      </c>
      <c r="I419" s="7">
        <v>46153</v>
      </c>
      <c r="J419" s="5"/>
      <c r="L419" s="5" t="s">
        <v>2474</v>
      </c>
      <c r="N419" s="55"/>
    </row>
    <row r="420" spans="1:14" s="6" customFormat="1" hidden="1" x14ac:dyDescent="0.35">
      <c r="A420" s="5" t="s">
        <v>1615</v>
      </c>
      <c r="B420" s="5" t="s">
        <v>1616</v>
      </c>
      <c r="C420" s="5" t="s">
        <v>1617</v>
      </c>
      <c r="D420" s="5" t="s">
        <v>241</v>
      </c>
      <c r="E420" s="5" t="s">
        <v>241</v>
      </c>
      <c r="F420" s="5" t="s">
        <v>241</v>
      </c>
      <c r="G420" s="5" t="s">
        <v>702</v>
      </c>
      <c r="H420" s="5" t="s">
        <v>1592</v>
      </c>
      <c r="I420" s="7">
        <v>46153</v>
      </c>
      <c r="J420" s="5"/>
      <c r="L420" s="5" t="s">
        <v>2474</v>
      </c>
      <c r="N420" s="55"/>
    </row>
    <row r="421" spans="1:14" s="1" customFormat="1" hidden="1" x14ac:dyDescent="0.35">
      <c r="A421" s="5" t="s">
        <v>1618</v>
      </c>
      <c r="B421" s="2" t="s">
        <v>1619</v>
      </c>
      <c r="C421" s="2" t="s">
        <v>1620</v>
      </c>
      <c r="D421" s="2" t="s">
        <v>37</v>
      </c>
      <c r="E421" s="26" t="s">
        <v>2476</v>
      </c>
      <c r="F421" s="2" t="s">
        <v>3606</v>
      </c>
      <c r="G421" s="2"/>
      <c r="H421" s="2" t="s">
        <v>230</v>
      </c>
      <c r="I421" s="24">
        <v>46160</v>
      </c>
      <c r="J421" s="2"/>
      <c r="K421" s="25"/>
      <c r="L421" s="2" t="s">
        <v>2473</v>
      </c>
      <c r="M421" s="25"/>
      <c r="N421" s="56"/>
    </row>
    <row r="422" spans="1:14" s="1" customFormat="1" hidden="1" x14ac:dyDescent="0.35">
      <c r="A422" s="5" t="s">
        <v>1621</v>
      </c>
      <c r="B422" s="2" t="s">
        <v>1622</v>
      </c>
      <c r="C422" s="2" t="s">
        <v>1623</v>
      </c>
      <c r="D422" s="2" t="s">
        <v>20</v>
      </c>
      <c r="E422" s="2" t="s">
        <v>20</v>
      </c>
      <c r="F422" s="2" t="s">
        <v>20</v>
      </c>
      <c r="G422" s="2" t="s">
        <v>149</v>
      </c>
      <c r="H422" s="2" t="s">
        <v>612</v>
      </c>
      <c r="I422" s="24">
        <v>46160</v>
      </c>
      <c r="J422" s="2"/>
      <c r="K422" s="25"/>
      <c r="L422" s="2" t="s">
        <v>2473</v>
      </c>
      <c r="M422" s="25"/>
      <c r="N422" s="56"/>
    </row>
    <row r="423" spans="1:14" s="1" customFormat="1" hidden="1" x14ac:dyDescent="0.35">
      <c r="A423" s="5" t="s">
        <v>1624</v>
      </c>
      <c r="B423" s="2" t="s">
        <v>1625</v>
      </c>
      <c r="C423" s="2" t="s">
        <v>1626</v>
      </c>
      <c r="D423" s="2" t="s">
        <v>37</v>
      </c>
      <c r="E423" s="26" t="s">
        <v>2476</v>
      </c>
      <c r="F423" s="2" t="s">
        <v>3606</v>
      </c>
      <c r="G423" s="2"/>
      <c r="H423" s="2" t="s">
        <v>370</v>
      </c>
      <c r="I423" s="24">
        <v>46162</v>
      </c>
      <c r="J423" s="2"/>
      <c r="K423" s="25"/>
      <c r="L423" s="2" t="s">
        <v>2473</v>
      </c>
      <c r="M423" s="25"/>
      <c r="N423" s="56"/>
    </row>
    <row r="424" spans="1:14" s="6" customFormat="1" hidden="1" x14ac:dyDescent="0.35">
      <c r="A424" s="5" t="s">
        <v>1627</v>
      </c>
      <c r="B424" s="5" t="s">
        <v>1628</v>
      </c>
      <c r="C424" s="5" t="s">
        <v>1629</v>
      </c>
      <c r="D424" s="5" t="s">
        <v>241</v>
      </c>
      <c r="E424" s="5" t="s">
        <v>241</v>
      </c>
      <c r="F424" s="5" t="s">
        <v>241</v>
      </c>
      <c r="G424" s="5" t="s">
        <v>63</v>
      </c>
      <c r="H424" s="5" t="s">
        <v>1500</v>
      </c>
      <c r="I424" s="7">
        <v>46160</v>
      </c>
      <c r="J424" s="5"/>
      <c r="L424" s="5" t="s">
        <v>2474</v>
      </c>
      <c r="N424" s="55"/>
    </row>
    <row r="425" spans="1:14" s="6" customFormat="1" hidden="1" x14ac:dyDescent="0.35">
      <c r="A425" s="5" t="s">
        <v>1630</v>
      </c>
      <c r="B425" s="5" t="s">
        <v>1631</v>
      </c>
      <c r="C425" s="5" t="s">
        <v>1632</v>
      </c>
      <c r="D425" s="5" t="s">
        <v>241</v>
      </c>
      <c r="E425" s="5" t="s">
        <v>241</v>
      </c>
      <c r="F425" s="5" t="s">
        <v>241</v>
      </c>
      <c r="G425" s="5" t="s">
        <v>63</v>
      </c>
      <c r="H425" s="5" t="s">
        <v>1633</v>
      </c>
      <c r="I425" s="7">
        <v>46160</v>
      </c>
      <c r="J425" s="5"/>
      <c r="L425" s="5" t="s">
        <v>2474</v>
      </c>
      <c r="N425" s="55"/>
    </row>
    <row r="426" spans="1:14" s="6" customFormat="1" hidden="1" x14ac:dyDescent="0.35">
      <c r="A426" s="5" t="s">
        <v>1634</v>
      </c>
      <c r="B426" s="5" t="s">
        <v>1635</v>
      </c>
      <c r="C426" s="5" t="s">
        <v>1636</v>
      </c>
      <c r="D426" s="5" t="s">
        <v>241</v>
      </c>
      <c r="E426" s="5" t="s">
        <v>241</v>
      </c>
      <c r="F426" s="5" t="s">
        <v>241</v>
      </c>
      <c r="G426" s="5" t="s">
        <v>138</v>
      </c>
      <c r="H426" s="5" t="s">
        <v>1637</v>
      </c>
      <c r="I426" s="7">
        <v>46155</v>
      </c>
      <c r="J426" s="5"/>
      <c r="L426" s="5" t="s">
        <v>2474</v>
      </c>
      <c r="N426" s="55"/>
    </row>
    <row r="427" spans="1:14" s="6" customFormat="1" hidden="1" x14ac:dyDescent="0.35">
      <c r="A427" s="5" t="s">
        <v>1638</v>
      </c>
      <c r="B427" s="5" t="s">
        <v>1639</v>
      </c>
      <c r="C427" s="5" t="s">
        <v>1640</v>
      </c>
      <c r="D427" s="5" t="s">
        <v>241</v>
      </c>
      <c r="E427" s="5" t="s">
        <v>241</v>
      </c>
      <c r="F427" s="5" t="s">
        <v>241</v>
      </c>
      <c r="G427" s="5" t="s">
        <v>138</v>
      </c>
      <c r="H427" s="5" t="s">
        <v>1641</v>
      </c>
      <c r="I427" s="7">
        <v>46164</v>
      </c>
      <c r="J427" s="5"/>
      <c r="L427" s="5" t="s">
        <v>2474</v>
      </c>
      <c r="N427" s="55"/>
    </row>
    <row r="428" spans="1:14" s="1" customFormat="1" hidden="1" x14ac:dyDescent="0.35">
      <c r="A428" s="5" t="s">
        <v>1642</v>
      </c>
      <c r="B428" s="2" t="s">
        <v>1643</v>
      </c>
      <c r="C428" s="2" t="s">
        <v>1644</v>
      </c>
      <c r="D428" s="2" t="s">
        <v>37</v>
      </c>
      <c r="E428" s="26" t="s">
        <v>2476</v>
      </c>
      <c r="F428" s="2" t="s">
        <v>3606</v>
      </c>
      <c r="G428" s="2"/>
      <c r="H428" s="2" t="s">
        <v>230</v>
      </c>
      <c r="I428" s="24">
        <v>46167</v>
      </c>
      <c r="J428" s="2"/>
      <c r="K428" s="25"/>
      <c r="L428" s="2" t="s">
        <v>2473</v>
      </c>
      <c r="M428" s="25"/>
      <c r="N428" s="56"/>
    </row>
    <row r="429" spans="1:14" s="6" customFormat="1" hidden="1" x14ac:dyDescent="0.35">
      <c r="A429" s="5" t="s">
        <v>1645</v>
      </c>
      <c r="B429" s="5" t="s">
        <v>1646</v>
      </c>
      <c r="C429" s="5" t="s">
        <v>1647</v>
      </c>
      <c r="D429" s="5" t="s">
        <v>241</v>
      </c>
      <c r="E429" s="5" t="s">
        <v>241</v>
      </c>
      <c r="F429" s="5" t="s">
        <v>241</v>
      </c>
      <c r="G429" s="5" t="s">
        <v>282</v>
      </c>
      <c r="H429" s="5" t="s">
        <v>1560</v>
      </c>
      <c r="I429" s="7">
        <v>46146</v>
      </c>
      <c r="J429" s="5"/>
      <c r="L429" s="5" t="s">
        <v>2474</v>
      </c>
      <c r="N429" s="55"/>
    </row>
    <row r="430" spans="1:14" s="6" customFormat="1" hidden="1" x14ac:dyDescent="0.35">
      <c r="A430" s="5" t="s">
        <v>1648</v>
      </c>
      <c r="B430" s="5" t="s">
        <v>1649</v>
      </c>
      <c r="C430" s="5" t="s">
        <v>1650</v>
      </c>
      <c r="D430" s="5" t="s">
        <v>241</v>
      </c>
      <c r="E430" s="5" t="s">
        <v>241</v>
      </c>
      <c r="F430" s="5" t="s">
        <v>241</v>
      </c>
      <c r="G430" s="5" t="s">
        <v>282</v>
      </c>
      <c r="H430" s="5" t="s">
        <v>1560</v>
      </c>
      <c r="I430" s="7">
        <v>46146</v>
      </c>
      <c r="J430" s="5"/>
      <c r="L430" s="5" t="s">
        <v>2474</v>
      </c>
      <c r="N430" s="55"/>
    </row>
    <row r="431" spans="1:14" s="6" customFormat="1" hidden="1" x14ac:dyDescent="0.35">
      <c r="A431" s="5" t="s">
        <v>1651</v>
      </c>
      <c r="B431" s="5" t="s">
        <v>1652</v>
      </c>
      <c r="C431" s="5" t="s">
        <v>1653</v>
      </c>
      <c r="D431" s="5" t="s">
        <v>241</v>
      </c>
      <c r="E431" s="5" t="s">
        <v>241</v>
      </c>
      <c r="F431" s="5" t="s">
        <v>241</v>
      </c>
      <c r="G431" s="5" t="s">
        <v>702</v>
      </c>
      <c r="H431" s="5" t="s">
        <v>1592</v>
      </c>
      <c r="I431" s="7">
        <v>46160</v>
      </c>
      <c r="J431" s="5"/>
      <c r="L431" s="5" t="s">
        <v>2474</v>
      </c>
      <c r="N431" s="55"/>
    </row>
    <row r="432" spans="1:14" s="6" customFormat="1" hidden="1" x14ac:dyDescent="0.35">
      <c r="A432" s="5" t="s">
        <v>1654</v>
      </c>
      <c r="B432" s="5" t="s">
        <v>1655</v>
      </c>
      <c r="C432" s="5" t="s">
        <v>1656</v>
      </c>
      <c r="D432" s="5" t="s">
        <v>241</v>
      </c>
      <c r="E432" s="5" t="s">
        <v>241</v>
      </c>
      <c r="F432" s="5" t="s">
        <v>241</v>
      </c>
      <c r="G432" s="5" t="s">
        <v>702</v>
      </c>
      <c r="H432" s="5" t="s">
        <v>1592</v>
      </c>
      <c r="I432" s="7">
        <v>46160</v>
      </c>
      <c r="J432" s="5"/>
      <c r="L432" s="5" t="s">
        <v>2474</v>
      </c>
      <c r="N432" s="55"/>
    </row>
    <row r="433" spans="1:14" s="6" customFormat="1" hidden="1" x14ac:dyDescent="0.35">
      <c r="A433" s="5" t="s">
        <v>1657</v>
      </c>
      <c r="B433" s="5" t="s">
        <v>1658</v>
      </c>
      <c r="C433" s="5" t="s">
        <v>1659</v>
      </c>
      <c r="D433" s="5" t="s">
        <v>241</v>
      </c>
      <c r="E433" s="5" t="s">
        <v>241</v>
      </c>
      <c r="F433" s="5" t="s">
        <v>241</v>
      </c>
      <c r="G433" s="5" t="s">
        <v>702</v>
      </c>
      <c r="H433" s="5" t="s">
        <v>1592</v>
      </c>
      <c r="I433" s="7">
        <v>46160</v>
      </c>
      <c r="J433" s="5"/>
      <c r="L433" s="5" t="s">
        <v>2474</v>
      </c>
      <c r="N433" s="55"/>
    </row>
    <row r="434" spans="1:14" s="6" customFormat="1" hidden="1" x14ac:dyDescent="0.35">
      <c r="A434" s="5" t="s">
        <v>1660</v>
      </c>
      <c r="B434" s="5" t="s">
        <v>1661</v>
      </c>
      <c r="C434" s="5" t="s">
        <v>1662</v>
      </c>
      <c r="D434" s="5" t="s">
        <v>241</v>
      </c>
      <c r="E434" s="5" t="s">
        <v>241</v>
      </c>
      <c r="F434" s="5" t="s">
        <v>241</v>
      </c>
      <c r="G434" s="5" t="s">
        <v>702</v>
      </c>
      <c r="H434" s="5" t="s">
        <v>1663</v>
      </c>
      <c r="I434" s="7">
        <v>46160</v>
      </c>
      <c r="J434" s="5"/>
      <c r="L434" s="5" t="s">
        <v>2474</v>
      </c>
      <c r="N434" s="55"/>
    </row>
    <row r="435" spans="1:14" s="6" customFormat="1" hidden="1" x14ac:dyDescent="0.35">
      <c r="A435" s="5" t="s">
        <v>1664</v>
      </c>
      <c r="B435" s="5" t="s">
        <v>1665</v>
      </c>
      <c r="C435" s="5" t="s">
        <v>1666</v>
      </c>
      <c r="D435" s="5" t="s">
        <v>241</v>
      </c>
      <c r="E435" s="5" t="s">
        <v>241</v>
      </c>
      <c r="F435" s="5" t="s">
        <v>241</v>
      </c>
      <c r="G435" s="5" t="s">
        <v>702</v>
      </c>
      <c r="H435" s="5" t="s">
        <v>1667</v>
      </c>
      <c r="I435" s="7">
        <v>46160</v>
      </c>
      <c r="J435" s="5"/>
      <c r="L435" s="5" t="s">
        <v>2474</v>
      </c>
      <c r="N435" s="55"/>
    </row>
    <row r="436" spans="1:14" s="6" customFormat="1" hidden="1" x14ac:dyDescent="0.35">
      <c r="A436" s="5" t="s">
        <v>1668</v>
      </c>
      <c r="B436" s="5" t="s">
        <v>1669</v>
      </c>
      <c r="C436" s="5" t="s">
        <v>1670</v>
      </c>
      <c r="D436" s="5" t="s">
        <v>241</v>
      </c>
      <c r="E436" s="5" t="s">
        <v>241</v>
      </c>
      <c r="F436" s="5" t="s">
        <v>241</v>
      </c>
      <c r="G436" s="5" t="s">
        <v>702</v>
      </c>
      <c r="H436" s="5" t="s">
        <v>1663</v>
      </c>
      <c r="I436" s="7">
        <v>46160</v>
      </c>
      <c r="J436" s="5"/>
      <c r="L436" s="5" t="s">
        <v>2474</v>
      </c>
      <c r="N436" s="55"/>
    </row>
    <row r="437" spans="1:14" s="6" customFormat="1" hidden="1" x14ac:dyDescent="0.35">
      <c r="A437" s="5" t="s">
        <v>1671</v>
      </c>
      <c r="B437" s="5" t="s">
        <v>1672</v>
      </c>
      <c r="C437" s="5" t="s">
        <v>1673</v>
      </c>
      <c r="D437" s="5" t="s">
        <v>241</v>
      </c>
      <c r="E437" s="5" t="s">
        <v>241</v>
      </c>
      <c r="F437" s="5" t="s">
        <v>241</v>
      </c>
      <c r="G437" s="5" t="s">
        <v>702</v>
      </c>
      <c r="H437" s="5" t="s">
        <v>1663</v>
      </c>
      <c r="I437" s="7">
        <v>46150</v>
      </c>
      <c r="J437" s="5"/>
      <c r="L437" s="5" t="s">
        <v>2474</v>
      </c>
      <c r="N437" s="55"/>
    </row>
    <row r="438" spans="1:14" s="6" customFormat="1" hidden="1" x14ac:dyDescent="0.35">
      <c r="A438" s="5" t="s">
        <v>1674</v>
      </c>
      <c r="B438" s="5" t="s">
        <v>1675</v>
      </c>
      <c r="C438" s="5" t="s">
        <v>1676</v>
      </c>
      <c r="D438" s="5" t="s">
        <v>241</v>
      </c>
      <c r="E438" s="5" t="s">
        <v>241</v>
      </c>
      <c r="F438" s="5" t="s">
        <v>241</v>
      </c>
      <c r="G438" s="5" t="s">
        <v>282</v>
      </c>
      <c r="H438" s="5" t="s">
        <v>1677</v>
      </c>
      <c r="I438" s="7">
        <v>46162</v>
      </c>
      <c r="J438" s="5"/>
      <c r="L438" s="5" t="s">
        <v>2474</v>
      </c>
      <c r="N438" s="55"/>
    </row>
    <row r="439" spans="1:14" s="6" customFormat="1" hidden="1" x14ac:dyDescent="0.35">
      <c r="A439" s="5" t="s">
        <v>1682</v>
      </c>
      <c r="B439" s="5" t="s">
        <v>1683</v>
      </c>
      <c r="C439" s="5" t="s">
        <v>1684</v>
      </c>
      <c r="D439" s="5" t="s">
        <v>241</v>
      </c>
      <c r="E439" s="5" t="s">
        <v>241</v>
      </c>
      <c r="F439" s="5" t="s">
        <v>241</v>
      </c>
      <c r="G439" s="5" t="s">
        <v>702</v>
      </c>
      <c r="H439" s="5" t="s">
        <v>1592</v>
      </c>
      <c r="I439" s="7">
        <v>46160</v>
      </c>
      <c r="J439" s="5"/>
      <c r="L439" s="5" t="s">
        <v>2474</v>
      </c>
      <c r="N439" s="55"/>
    </row>
    <row r="440" spans="1:14" s="6" customFormat="1" hidden="1" x14ac:dyDescent="0.35">
      <c r="A440" s="5" t="s">
        <v>1685</v>
      </c>
      <c r="B440" s="5" t="s">
        <v>1686</v>
      </c>
      <c r="C440" s="5" t="s">
        <v>1687</v>
      </c>
      <c r="D440" s="5" t="s">
        <v>241</v>
      </c>
      <c r="E440" s="5" t="s">
        <v>241</v>
      </c>
      <c r="F440" s="5" t="s">
        <v>241</v>
      </c>
      <c r="G440" s="5" t="s">
        <v>138</v>
      </c>
      <c r="H440" s="5" t="s">
        <v>1688</v>
      </c>
      <c r="I440" s="7">
        <v>46160</v>
      </c>
      <c r="J440" s="5"/>
      <c r="L440" s="5" t="s">
        <v>2474</v>
      </c>
      <c r="N440" s="55"/>
    </row>
    <row r="441" spans="1:14" s="6" customFormat="1" hidden="1" x14ac:dyDescent="0.35">
      <c r="A441" s="5" t="s">
        <v>1689</v>
      </c>
      <c r="B441" s="5" t="s">
        <v>1690</v>
      </c>
      <c r="C441" s="5" t="s">
        <v>1691</v>
      </c>
      <c r="D441" s="5" t="s">
        <v>241</v>
      </c>
      <c r="E441" s="5" t="s">
        <v>241</v>
      </c>
      <c r="F441" s="5" t="s">
        <v>241</v>
      </c>
      <c r="G441" s="5" t="s">
        <v>702</v>
      </c>
      <c r="H441" s="5" t="s">
        <v>1592</v>
      </c>
      <c r="I441" s="7">
        <v>46174</v>
      </c>
      <c r="J441" s="5"/>
      <c r="L441" s="5" t="s">
        <v>2474</v>
      </c>
      <c r="N441" s="55"/>
    </row>
    <row r="442" spans="1:14" s="1" customFormat="1" hidden="1" x14ac:dyDescent="0.35">
      <c r="A442" s="5" t="s">
        <v>245</v>
      </c>
      <c r="B442" s="2" t="s">
        <v>244</v>
      </c>
      <c r="C442" s="2" t="s">
        <v>1692</v>
      </c>
      <c r="D442" s="2" t="s">
        <v>20</v>
      </c>
      <c r="E442" s="2" t="s">
        <v>20</v>
      </c>
      <c r="F442" s="2" t="s">
        <v>20</v>
      </c>
      <c r="G442" s="2" t="s">
        <v>165</v>
      </c>
      <c r="H442" s="2" t="s">
        <v>175</v>
      </c>
      <c r="I442" s="24">
        <v>46176</v>
      </c>
      <c r="J442" s="2"/>
      <c r="K442" s="25"/>
      <c r="L442" s="2" t="s">
        <v>2473</v>
      </c>
      <c r="M442" s="25"/>
      <c r="N442" s="56"/>
    </row>
    <row r="443" spans="1:14" s="6" customFormat="1" hidden="1" x14ac:dyDescent="0.35">
      <c r="A443" s="5" t="s">
        <v>1693</v>
      </c>
      <c r="B443" s="5" t="s">
        <v>1694</v>
      </c>
      <c r="C443" s="5" t="s">
        <v>1695</v>
      </c>
      <c r="D443" s="5" t="s">
        <v>241</v>
      </c>
      <c r="E443" s="5" t="s">
        <v>241</v>
      </c>
      <c r="F443" s="5" t="s">
        <v>241</v>
      </c>
      <c r="G443" s="5" t="s">
        <v>282</v>
      </c>
      <c r="H443" s="5" t="s">
        <v>1560</v>
      </c>
      <c r="I443" s="7">
        <v>46167</v>
      </c>
      <c r="J443" s="5"/>
      <c r="L443" s="5" t="s">
        <v>2474</v>
      </c>
      <c r="N443" s="55"/>
    </row>
    <row r="444" spans="1:14" s="6" customFormat="1" hidden="1" x14ac:dyDescent="0.35">
      <c r="A444" s="5" t="s">
        <v>1696</v>
      </c>
      <c r="B444" s="5" t="s">
        <v>1697</v>
      </c>
      <c r="C444" s="5" t="s">
        <v>1698</v>
      </c>
      <c r="D444" s="5" t="s">
        <v>241</v>
      </c>
      <c r="E444" s="5" t="s">
        <v>241</v>
      </c>
      <c r="F444" s="5" t="s">
        <v>241</v>
      </c>
      <c r="G444" s="5" t="s">
        <v>282</v>
      </c>
      <c r="H444" s="5" t="s">
        <v>1560</v>
      </c>
      <c r="I444" s="7">
        <v>46167</v>
      </c>
      <c r="J444" s="5"/>
      <c r="L444" s="5" t="s">
        <v>2474</v>
      </c>
      <c r="N444" s="55"/>
    </row>
    <row r="445" spans="1:14" s="6" customFormat="1" hidden="1" x14ac:dyDescent="0.35">
      <c r="A445" s="5" t="s">
        <v>1699</v>
      </c>
      <c r="B445" s="5" t="s">
        <v>1700</v>
      </c>
      <c r="C445" s="5" t="s">
        <v>1701</v>
      </c>
      <c r="D445" s="5" t="s">
        <v>241</v>
      </c>
      <c r="E445" s="5" t="s">
        <v>241</v>
      </c>
      <c r="F445" s="5" t="s">
        <v>241</v>
      </c>
      <c r="G445" s="5" t="s">
        <v>282</v>
      </c>
      <c r="H445" s="5" t="s">
        <v>1560</v>
      </c>
      <c r="I445" s="7">
        <v>46167</v>
      </c>
      <c r="J445" s="5"/>
      <c r="L445" s="5" t="s">
        <v>2474</v>
      </c>
      <c r="N445" s="55"/>
    </row>
    <row r="446" spans="1:14" s="1" customFormat="1" hidden="1" x14ac:dyDescent="0.35">
      <c r="A446" s="5" t="s">
        <v>1702</v>
      </c>
      <c r="B446" s="2" t="s">
        <v>1703</v>
      </c>
      <c r="C446" s="2" t="s">
        <v>1704</v>
      </c>
      <c r="D446" s="2" t="s">
        <v>50</v>
      </c>
      <c r="E446" s="26" t="s">
        <v>2476</v>
      </c>
      <c r="F446" s="2" t="s">
        <v>3605</v>
      </c>
      <c r="G446" s="2"/>
      <c r="H446" s="2" t="s">
        <v>370</v>
      </c>
      <c r="I446" s="24">
        <v>46181</v>
      </c>
      <c r="J446" s="2"/>
      <c r="K446" s="25"/>
      <c r="L446" s="2" t="s">
        <v>2473</v>
      </c>
      <c r="M446" s="25"/>
      <c r="N446" s="56"/>
    </row>
    <row r="447" spans="1:14" s="6" customFormat="1" hidden="1" x14ac:dyDescent="0.35">
      <c r="A447" s="5" t="s">
        <v>1705</v>
      </c>
      <c r="B447" s="5" t="s">
        <v>1706</v>
      </c>
      <c r="C447" s="5" t="s">
        <v>1707</v>
      </c>
      <c r="D447" s="5" t="s">
        <v>241</v>
      </c>
      <c r="E447" s="5" t="s">
        <v>241</v>
      </c>
      <c r="F447" s="5" t="s">
        <v>241</v>
      </c>
      <c r="G447" s="5" t="s">
        <v>702</v>
      </c>
      <c r="H447" s="5" t="s">
        <v>1592</v>
      </c>
      <c r="I447" s="7">
        <v>46181</v>
      </c>
      <c r="J447" s="5"/>
      <c r="L447" s="5" t="s">
        <v>2474</v>
      </c>
      <c r="N447" s="55"/>
    </row>
    <row r="448" spans="1:14" s="6" customFormat="1" hidden="1" x14ac:dyDescent="0.35">
      <c r="A448" s="5" t="s">
        <v>1708</v>
      </c>
      <c r="B448" s="5" t="s">
        <v>1709</v>
      </c>
      <c r="C448" s="5" t="s">
        <v>1710</v>
      </c>
      <c r="D448" s="5" t="s">
        <v>241</v>
      </c>
      <c r="E448" s="5" t="s">
        <v>241</v>
      </c>
      <c r="F448" s="5" t="s">
        <v>241</v>
      </c>
      <c r="G448" s="5" t="s">
        <v>702</v>
      </c>
      <c r="H448" s="5" t="s">
        <v>1592</v>
      </c>
      <c r="I448" s="7">
        <v>46181</v>
      </c>
      <c r="J448" s="5"/>
      <c r="L448" s="5" t="s">
        <v>2474</v>
      </c>
      <c r="N448" s="55"/>
    </row>
    <row r="449" spans="1:14" s="6" customFormat="1" hidden="1" x14ac:dyDescent="0.35">
      <c r="A449" s="5" t="s">
        <v>1711</v>
      </c>
      <c r="B449" s="5" t="s">
        <v>1712</v>
      </c>
      <c r="C449" s="5" t="s">
        <v>1713</v>
      </c>
      <c r="D449" s="5" t="s">
        <v>241</v>
      </c>
      <c r="E449" s="5" t="s">
        <v>241</v>
      </c>
      <c r="F449" s="5" t="s">
        <v>241</v>
      </c>
      <c r="G449" s="5" t="s">
        <v>702</v>
      </c>
      <c r="H449" s="5" t="s">
        <v>1592</v>
      </c>
      <c r="I449" s="7">
        <v>46181</v>
      </c>
      <c r="J449" s="5"/>
      <c r="L449" s="5" t="s">
        <v>2474</v>
      </c>
      <c r="N449" s="55"/>
    </row>
    <row r="450" spans="1:14" s="6" customFormat="1" hidden="1" x14ac:dyDescent="0.35">
      <c r="A450" s="5" t="s">
        <v>1714</v>
      </c>
      <c r="B450" s="5" t="s">
        <v>1715</v>
      </c>
      <c r="C450" s="5" t="s">
        <v>1716</v>
      </c>
      <c r="D450" s="5" t="s">
        <v>241</v>
      </c>
      <c r="E450" s="5" t="s">
        <v>241</v>
      </c>
      <c r="F450" s="5" t="s">
        <v>241</v>
      </c>
      <c r="G450" s="5" t="s">
        <v>702</v>
      </c>
      <c r="H450" s="5" t="s">
        <v>1592</v>
      </c>
      <c r="I450" s="7">
        <v>46181</v>
      </c>
      <c r="J450" s="5"/>
      <c r="L450" s="5" t="s">
        <v>2474</v>
      </c>
      <c r="N450" s="55"/>
    </row>
    <row r="451" spans="1:14" s="1" customFormat="1" hidden="1" x14ac:dyDescent="0.35">
      <c r="A451" s="5" t="s">
        <v>1717</v>
      </c>
      <c r="B451" s="2" t="s">
        <v>1718</v>
      </c>
      <c r="C451" s="2" t="s">
        <v>1719</v>
      </c>
      <c r="D451" s="2" t="s">
        <v>50</v>
      </c>
      <c r="E451" s="26" t="s">
        <v>2476</v>
      </c>
      <c r="F451" s="2" t="s">
        <v>3605</v>
      </c>
      <c r="G451" s="2"/>
      <c r="H451" s="2" t="s">
        <v>230</v>
      </c>
      <c r="I451" s="24">
        <v>46202</v>
      </c>
      <c r="J451" s="2"/>
      <c r="K451" s="25"/>
      <c r="L451" s="2" t="s">
        <v>2473</v>
      </c>
      <c r="M451" s="25"/>
      <c r="N451" s="56"/>
    </row>
    <row r="452" spans="1:14" s="1" customFormat="1" hidden="1" x14ac:dyDescent="0.35">
      <c r="A452" s="5" t="s">
        <v>1720</v>
      </c>
      <c r="B452" s="2" t="s">
        <v>1721</v>
      </c>
      <c r="C452" s="2" t="s">
        <v>1722</v>
      </c>
      <c r="D452" s="2" t="s">
        <v>50</v>
      </c>
      <c r="E452" s="26" t="s">
        <v>2476</v>
      </c>
      <c r="F452" s="2" t="s">
        <v>3605</v>
      </c>
      <c r="G452" s="2"/>
      <c r="H452" s="2" t="s">
        <v>230</v>
      </c>
      <c r="I452" s="24">
        <v>46195</v>
      </c>
      <c r="J452" s="2"/>
      <c r="K452" s="25"/>
      <c r="L452" s="2" t="s">
        <v>2473</v>
      </c>
      <c r="M452" s="25"/>
      <c r="N452" s="56"/>
    </row>
    <row r="453" spans="1:14" s="1" customFormat="1" hidden="1" x14ac:dyDescent="0.35">
      <c r="A453" s="5" t="s">
        <v>1723</v>
      </c>
      <c r="B453" s="5" t="s">
        <v>1724</v>
      </c>
      <c r="C453" s="5" t="s">
        <v>1725</v>
      </c>
      <c r="D453" s="5" t="s">
        <v>29</v>
      </c>
      <c r="E453" s="5" t="s">
        <v>395</v>
      </c>
      <c r="F453" s="2" t="s">
        <v>395</v>
      </c>
      <c r="G453" s="6"/>
      <c r="H453" s="5" t="s">
        <v>187</v>
      </c>
      <c r="I453" s="7">
        <v>46191</v>
      </c>
      <c r="J453" s="6" t="s">
        <v>56</v>
      </c>
      <c r="K453" s="6" t="s">
        <v>33</v>
      </c>
      <c r="L453" s="25" t="s">
        <v>2475</v>
      </c>
      <c r="M453" s="25"/>
      <c r="N453" s="56"/>
    </row>
    <row r="454" spans="1:14" s="1" customFormat="1" hidden="1" x14ac:dyDescent="0.35">
      <c r="A454" s="5" t="s">
        <v>1726</v>
      </c>
      <c r="B454" s="5" t="s">
        <v>1727</v>
      </c>
      <c r="C454" s="5" t="s">
        <v>1728</v>
      </c>
      <c r="D454" s="5" t="s">
        <v>29</v>
      </c>
      <c r="E454" s="5" t="s">
        <v>395</v>
      </c>
      <c r="F454" s="2" t="s">
        <v>395</v>
      </c>
      <c r="G454" s="6"/>
      <c r="H454" s="5" t="s">
        <v>187</v>
      </c>
      <c r="I454" s="7">
        <v>46191</v>
      </c>
      <c r="J454" s="6" t="s">
        <v>56</v>
      </c>
      <c r="K454" s="6" t="s">
        <v>33</v>
      </c>
      <c r="L454" s="25" t="s">
        <v>2475</v>
      </c>
      <c r="M454" s="25"/>
      <c r="N454" s="56"/>
    </row>
    <row r="455" spans="1:14" s="1" customFormat="1" hidden="1" x14ac:dyDescent="0.35">
      <c r="A455" s="5" t="s">
        <v>1729</v>
      </c>
      <c r="B455" s="5" t="s">
        <v>1730</v>
      </c>
      <c r="C455" s="5" t="s">
        <v>1731</v>
      </c>
      <c r="D455" s="5" t="s">
        <v>29</v>
      </c>
      <c r="E455" s="5" t="s">
        <v>395</v>
      </c>
      <c r="F455" s="2" t="s">
        <v>395</v>
      </c>
      <c r="G455" s="5"/>
      <c r="H455" s="5" t="s">
        <v>1172</v>
      </c>
      <c r="I455" s="7">
        <v>46195</v>
      </c>
      <c r="J455" s="6" t="s">
        <v>1171</v>
      </c>
      <c r="K455" s="6" t="s">
        <v>33</v>
      </c>
      <c r="L455" s="5" t="s">
        <v>2472</v>
      </c>
      <c r="M455" s="25"/>
      <c r="N455" s="56"/>
    </row>
    <row r="456" spans="1:14" s="1" customFormat="1" hidden="1" x14ac:dyDescent="0.35">
      <c r="A456" s="5" t="s">
        <v>1732</v>
      </c>
      <c r="B456" s="5" t="s">
        <v>1733</v>
      </c>
      <c r="C456" s="5" t="s">
        <v>1734</v>
      </c>
      <c r="D456" s="5" t="s">
        <v>29</v>
      </c>
      <c r="E456" s="5" t="s">
        <v>395</v>
      </c>
      <c r="F456" s="2" t="s">
        <v>395</v>
      </c>
      <c r="G456" s="5"/>
      <c r="H456" s="5" t="s">
        <v>1735</v>
      </c>
      <c r="I456" s="7">
        <v>46195</v>
      </c>
      <c r="J456" s="6" t="s">
        <v>2779</v>
      </c>
      <c r="K456" s="6" t="s">
        <v>33</v>
      </c>
      <c r="L456" s="5" t="s">
        <v>2472</v>
      </c>
      <c r="M456" s="25"/>
      <c r="N456" s="56"/>
    </row>
    <row r="457" spans="1:14" s="1" customFormat="1" hidden="1" x14ac:dyDescent="0.35">
      <c r="A457" s="5" t="s">
        <v>1736</v>
      </c>
      <c r="B457" s="5" t="s">
        <v>1737</v>
      </c>
      <c r="C457" s="5" t="s">
        <v>1738</v>
      </c>
      <c r="D457" s="5" t="s">
        <v>29</v>
      </c>
      <c r="E457" s="5" t="s">
        <v>395</v>
      </c>
      <c r="F457" s="2" t="s">
        <v>395</v>
      </c>
      <c r="G457" s="5"/>
      <c r="H457" s="5" t="s">
        <v>1739</v>
      </c>
      <c r="I457" s="7">
        <v>46202</v>
      </c>
      <c r="J457" s="6" t="s">
        <v>807</v>
      </c>
      <c r="K457" s="6" t="s">
        <v>33</v>
      </c>
      <c r="L457" s="5" t="s">
        <v>2472</v>
      </c>
      <c r="M457" s="25"/>
      <c r="N457" s="56"/>
    </row>
    <row r="458" spans="1:14" s="1" customFormat="1" hidden="1" x14ac:dyDescent="0.35">
      <c r="A458" s="5" t="s">
        <v>1740</v>
      </c>
      <c r="B458" s="5" t="s">
        <v>1741</v>
      </c>
      <c r="C458" s="5" t="s">
        <v>1742</v>
      </c>
      <c r="D458" s="5" t="s">
        <v>29</v>
      </c>
      <c r="E458" s="5" t="s">
        <v>395</v>
      </c>
      <c r="F458" s="2" t="s">
        <v>395</v>
      </c>
      <c r="G458" s="5"/>
      <c r="H458" s="5" t="s">
        <v>1743</v>
      </c>
      <c r="I458" s="7">
        <v>46196</v>
      </c>
      <c r="J458" s="6" t="s">
        <v>807</v>
      </c>
      <c r="K458" s="6" t="s">
        <v>33</v>
      </c>
      <c r="L458" s="5" t="s">
        <v>2472</v>
      </c>
      <c r="M458" s="25"/>
      <c r="N458" s="56"/>
    </row>
    <row r="459" spans="1:14" s="6" customFormat="1" hidden="1" x14ac:dyDescent="0.35">
      <c r="A459" s="5" t="s">
        <v>1744</v>
      </c>
      <c r="B459" s="5" t="s">
        <v>1745</v>
      </c>
      <c r="C459" s="5" t="s">
        <v>1746</v>
      </c>
      <c r="D459" s="5" t="s">
        <v>241</v>
      </c>
      <c r="E459" s="5" t="s">
        <v>241</v>
      </c>
      <c r="F459" s="5" t="s">
        <v>241</v>
      </c>
      <c r="G459" s="5" t="s">
        <v>63</v>
      </c>
      <c r="H459" s="5" t="s">
        <v>1747</v>
      </c>
      <c r="I459" s="7">
        <v>46195</v>
      </c>
      <c r="J459" s="5"/>
      <c r="L459" s="5" t="s">
        <v>2474</v>
      </c>
      <c r="N459" s="55"/>
    </row>
    <row r="460" spans="1:14" s="6" customFormat="1" hidden="1" x14ac:dyDescent="0.35">
      <c r="A460" s="5" t="s">
        <v>1748</v>
      </c>
      <c r="B460" s="5" t="s">
        <v>1749</v>
      </c>
      <c r="C460" s="5" t="s">
        <v>1750</v>
      </c>
      <c r="D460" s="5" t="s">
        <v>241</v>
      </c>
      <c r="E460" s="5" t="s">
        <v>241</v>
      </c>
      <c r="F460" s="5" t="s">
        <v>241</v>
      </c>
      <c r="G460" s="5" t="s">
        <v>702</v>
      </c>
      <c r="H460" s="5" t="s">
        <v>1409</v>
      </c>
      <c r="I460" s="7">
        <v>46195</v>
      </c>
      <c r="J460" s="5"/>
      <c r="L460" s="5" t="s">
        <v>2474</v>
      </c>
      <c r="N460" s="55"/>
    </row>
    <row r="461" spans="1:14" s="6" customFormat="1" hidden="1" x14ac:dyDescent="0.35">
      <c r="A461" s="5" t="s">
        <v>1751</v>
      </c>
      <c r="B461" s="5" t="s">
        <v>1752</v>
      </c>
      <c r="C461" s="5" t="s">
        <v>1753</v>
      </c>
      <c r="D461" s="5" t="s">
        <v>241</v>
      </c>
      <c r="E461" s="5" t="s">
        <v>241</v>
      </c>
      <c r="F461" s="5" t="s">
        <v>241</v>
      </c>
      <c r="G461" s="5" t="s">
        <v>702</v>
      </c>
      <c r="H461" s="5" t="s">
        <v>1592</v>
      </c>
      <c r="I461" s="7">
        <v>46195</v>
      </c>
      <c r="J461" s="5"/>
      <c r="L461" s="5" t="s">
        <v>2474</v>
      </c>
      <c r="N461" s="55"/>
    </row>
    <row r="462" spans="1:14" s="6" customFormat="1" hidden="1" x14ac:dyDescent="0.35">
      <c r="A462" s="5" t="s">
        <v>1754</v>
      </c>
      <c r="B462" s="5" t="s">
        <v>1755</v>
      </c>
      <c r="C462" s="5" t="s">
        <v>1756</v>
      </c>
      <c r="D462" s="5" t="s">
        <v>241</v>
      </c>
      <c r="E462" s="5" t="s">
        <v>241</v>
      </c>
      <c r="F462" s="5" t="s">
        <v>241</v>
      </c>
      <c r="G462" s="5" t="s">
        <v>138</v>
      </c>
      <c r="H462" s="5" t="s">
        <v>1757</v>
      </c>
      <c r="I462" s="7">
        <v>46195</v>
      </c>
      <c r="J462" s="5"/>
      <c r="L462" s="5" t="s">
        <v>2474</v>
      </c>
      <c r="N462" s="55"/>
    </row>
    <row r="463" spans="1:14" s="6" customFormat="1" hidden="1" x14ac:dyDescent="0.35">
      <c r="A463" s="5" t="s">
        <v>1758</v>
      </c>
      <c r="B463" s="5" t="s">
        <v>1759</v>
      </c>
      <c r="C463" s="5" t="s">
        <v>1760</v>
      </c>
      <c r="D463" s="5" t="s">
        <v>241</v>
      </c>
      <c r="E463" s="5" t="s">
        <v>241</v>
      </c>
      <c r="F463" s="5" t="s">
        <v>241</v>
      </c>
      <c r="G463" s="5" t="s">
        <v>702</v>
      </c>
      <c r="H463" s="5" t="s">
        <v>1592</v>
      </c>
      <c r="I463" s="7">
        <v>46195</v>
      </c>
      <c r="J463" s="5"/>
      <c r="L463" s="5" t="s">
        <v>2474</v>
      </c>
      <c r="N463" s="55"/>
    </row>
    <row r="464" spans="1:14" s="6" customFormat="1" hidden="1" x14ac:dyDescent="0.35">
      <c r="A464" s="5" t="s">
        <v>1761</v>
      </c>
      <c r="B464" s="5" t="s">
        <v>1762</v>
      </c>
      <c r="C464" s="5" t="s">
        <v>1763</v>
      </c>
      <c r="D464" s="5" t="s">
        <v>241</v>
      </c>
      <c r="E464" s="5" t="s">
        <v>241</v>
      </c>
      <c r="F464" s="5" t="s">
        <v>241</v>
      </c>
      <c r="G464" s="5" t="s">
        <v>659</v>
      </c>
      <c r="H464" s="5" t="s">
        <v>1588</v>
      </c>
      <c r="I464" s="7">
        <v>46197</v>
      </c>
      <c r="J464" s="5"/>
      <c r="L464" s="5" t="s">
        <v>2474</v>
      </c>
      <c r="N464" s="55"/>
    </row>
    <row r="465" spans="1:14" s="6" customFormat="1" hidden="1" x14ac:dyDescent="0.35">
      <c r="A465" s="5" t="s">
        <v>1764</v>
      </c>
      <c r="B465" s="5" t="s">
        <v>1765</v>
      </c>
      <c r="C465" s="5" t="s">
        <v>1766</v>
      </c>
      <c r="D465" s="5" t="s">
        <v>241</v>
      </c>
      <c r="E465" s="5" t="s">
        <v>241</v>
      </c>
      <c r="F465" s="5" t="s">
        <v>241</v>
      </c>
      <c r="G465" s="5" t="s">
        <v>659</v>
      </c>
      <c r="H465" s="5" t="s">
        <v>1588</v>
      </c>
      <c r="I465" s="7">
        <v>46197</v>
      </c>
      <c r="J465" s="5"/>
      <c r="L465" s="5" t="s">
        <v>2474</v>
      </c>
      <c r="N465" s="55"/>
    </row>
    <row r="466" spans="1:14" s="6" customFormat="1" hidden="1" x14ac:dyDescent="0.35">
      <c r="A466" s="5" t="s">
        <v>1768</v>
      </c>
      <c r="B466" s="5" t="s">
        <v>1769</v>
      </c>
      <c r="C466" s="5" t="s">
        <v>1770</v>
      </c>
      <c r="D466" s="5" t="s">
        <v>241</v>
      </c>
      <c r="E466" s="5" t="s">
        <v>241</v>
      </c>
      <c r="F466" s="5" t="s">
        <v>241</v>
      </c>
      <c r="G466" s="5" t="s">
        <v>702</v>
      </c>
      <c r="H466" s="5" t="s">
        <v>1592</v>
      </c>
      <c r="I466" s="7">
        <v>46202</v>
      </c>
      <c r="J466" s="5"/>
      <c r="L466" s="5" t="s">
        <v>2474</v>
      </c>
      <c r="N466" s="55"/>
    </row>
    <row r="467" spans="1:14" s="6" customFormat="1" hidden="1" x14ac:dyDescent="0.35">
      <c r="A467" s="5" t="s">
        <v>1771</v>
      </c>
      <c r="B467" s="5" t="s">
        <v>1772</v>
      </c>
      <c r="C467" s="5" t="s">
        <v>1773</v>
      </c>
      <c r="D467" s="5" t="s">
        <v>241</v>
      </c>
      <c r="E467" s="5" t="s">
        <v>241</v>
      </c>
      <c r="F467" s="5" t="s">
        <v>241</v>
      </c>
      <c r="G467" s="5" t="s">
        <v>702</v>
      </c>
      <c r="H467" s="5" t="s">
        <v>1592</v>
      </c>
      <c r="I467" s="7">
        <v>46202</v>
      </c>
      <c r="J467" s="5"/>
      <c r="L467" s="5" t="s">
        <v>2474</v>
      </c>
      <c r="N467" s="55"/>
    </row>
    <row r="468" spans="1:14" s="6" customFormat="1" hidden="1" x14ac:dyDescent="0.35">
      <c r="A468" s="5" t="s">
        <v>1774</v>
      </c>
      <c r="B468" s="5" t="s">
        <v>1775</v>
      </c>
      <c r="C468" s="5" t="s">
        <v>1776</v>
      </c>
      <c r="D468" s="5" t="s">
        <v>241</v>
      </c>
      <c r="E468" s="5" t="s">
        <v>241</v>
      </c>
      <c r="F468" s="5" t="s">
        <v>241</v>
      </c>
      <c r="G468" s="5" t="s">
        <v>702</v>
      </c>
      <c r="H468" s="5" t="s">
        <v>1592</v>
      </c>
      <c r="I468" s="7">
        <v>46202</v>
      </c>
      <c r="J468" s="5"/>
      <c r="L468" s="5" t="s">
        <v>2474</v>
      </c>
      <c r="N468" s="55"/>
    </row>
    <row r="469" spans="1:14" s="6" customFormat="1" hidden="1" x14ac:dyDescent="0.35">
      <c r="A469" s="5" t="s">
        <v>1777</v>
      </c>
      <c r="B469" s="5" t="s">
        <v>1778</v>
      </c>
      <c r="C469" s="5" t="s">
        <v>1779</v>
      </c>
      <c r="D469" s="5" t="s">
        <v>241</v>
      </c>
      <c r="E469" s="5" t="s">
        <v>241</v>
      </c>
      <c r="F469" s="5" t="s">
        <v>241</v>
      </c>
      <c r="G469" s="5" t="s">
        <v>702</v>
      </c>
      <c r="H469" s="5" t="s">
        <v>1592</v>
      </c>
      <c r="I469" s="7">
        <v>46202</v>
      </c>
      <c r="J469" s="5"/>
      <c r="L469" s="5" t="s">
        <v>2474</v>
      </c>
      <c r="N469" s="55"/>
    </row>
    <row r="470" spans="1:14" s="6" customFormat="1" hidden="1" x14ac:dyDescent="0.35">
      <c r="A470" s="5" t="s">
        <v>1780</v>
      </c>
      <c r="B470" s="5" t="s">
        <v>1781</v>
      </c>
      <c r="C470" s="5" t="s">
        <v>1782</v>
      </c>
      <c r="D470" s="5" t="s">
        <v>241</v>
      </c>
      <c r="E470" s="5" t="s">
        <v>241</v>
      </c>
      <c r="F470" s="5" t="s">
        <v>241</v>
      </c>
      <c r="G470" s="5" t="s">
        <v>702</v>
      </c>
      <c r="H470" s="5" t="s">
        <v>1592</v>
      </c>
      <c r="I470" s="7">
        <v>46202</v>
      </c>
      <c r="J470" s="5"/>
      <c r="L470" s="5" t="s">
        <v>2474</v>
      </c>
      <c r="N470" s="55"/>
    </row>
    <row r="471" spans="1:14" s="6" customFormat="1" hidden="1" x14ac:dyDescent="0.35">
      <c r="A471" s="5" t="s">
        <v>1783</v>
      </c>
      <c r="B471" s="5" t="s">
        <v>1784</v>
      </c>
      <c r="C471" s="5" t="s">
        <v>1785</v>
      </c>
      <c r="D471" s="5" t="s">
        <v>241</v>
      </c>
      <c r="E471" s="5" t="s">
        <v>241</v>
      </c>
      <c r="F471" s="5" t="s">
        <v>241</v>
      </c>
      <c r="G471" s="5" t="s">
        <v>702</v>
      </c>
      <c r="H471" s="5" t="s">
        <v>1592</v>
      </c>
      <c r="I471" s="7">
        <v>46202</v>
      </c>
      <c r="J471" s="5"/>
      <c r="L471" s="5" t="s">
        <v>2474</v>
      </c>
      <c r="N471" s="55"/>
    </row>
    <row r="472" spans="1:14" s="1" customFormat="1" hidden="1" x14ac:dyDescent="0.35">
      <c r="A472" s="5" t="s">
        <v>24</v>
      </c>
      <c r="B472" s="2" t="s">
        <v>23</v>
      </c>
      <c r="C472" s="2" t="s">
        <v>1786</v>
      </c>
      <c r="D472" s="2" t="s">
        <v>20</v>
      </c>
      <c r="E472" s="2" t="s">
        <v>20</v>
      </c>
      <c r="F472" s="2" t="s">
        <v>20</v>
      </c>
      <c r="G472" s="2" t="s">
        <v>157</v>
      </c>
      <c r="H472" s="2" t="s">
        <v>1787</v>
      </c>
      <c r="I472" s="24">
        <v>46209</v>
      </c>
      <c r="J472" s="2"/>
      <c r="K472" s="25"/>
      <c r="L472" s="2" t="s">
        <v>2473</v>
      </c>
      <c r="M472" s="25"/>
      <c r="N472" s="56"/>
    </row>
    <row r="473" spans="1:14" s="1" customFormat="1" hidden="1" x14ac:dyDescent="0.35">
      <c r="A473" s="5" t="s">
        <v>1788</v>
      </c>
      <c r="B473" s="5" t="s">
        <v>1789</v>
      </c>
      <c r="C473" s="5" t="s">
        <v>1790</v>
      </c>
      <c r="D473" s="5" t="s">
        <v>29</v>
      </c>
      <c r="E473" s="5" t="s">
        <v>395</v>
      </c>
      <c r="F473" s="2" t="s">
        <v>395</v>
      </c>
      <c r="G473" s="5"/>
      <c r="H473" s="5" t="s">
        <v>1791</v>
      </c>
      <c r="I473" s="7">
        <v>46209</v>
      </c>
      <c r="J473" s="6" t="s">
        <v>807</v>
      </c>
      <c r="K473" s="6" t="s">
        <v>33</v>
      </c>
      <c r="L473" s="5" t="s">
        <v>2472</v>
      </c>
      <c r="M473" s="25"/>
      <c r="N473" s="56"/>
    </row>
    <row r="474" spans="1:14" s="1" customFormat="1" hidden="1" x14ac:dyDescent="0.35">
      <c r="A474" s="5" t="s">
        <v>1792</v>
      </c>
      <c r="B474" s="5" t="s">
        <v>1793</v>
      </c>
      <c r="C474" s="5" t="s">
        <v>1794</v>
      </c>
      <c r="D474" s="5" t="s">
        <v>29</v>
      </c>
      <c r="E474" s="5" t="s">
        <v>395</v>
      </c>
      <c r="F474" s="2" t="s">
        <v>395</v>
      </c>
      <c r="G474" s="5"/>
      <c r="H474" s="5" t="s">
        <v>202</v>
      </c>
      <c r="I474" s="7">
        <v>46209</v>
      </c>
      <c r="J474" s="6" t="s">
        <v>807</v>
      </c>
      <c r="K474" s="6" t="s">
        <v>33</v>
      </c>
      <c r="L474" s="5" t="s">
        <v>2472</v>
      </c>
      <c r="M474" s="25"/>
      <c r="N474" s="56"/>
    </row>
    <row r="475" spans="1:14" s="1" customFormat="1" hidden="1" x14ac:dyDescent="0.35">
      <c r="A475" s="5" t="s">
        <v>1795</v>
      </c>
      <c r="B475" s="2" t="s">
        <v>1796</v>
      </c>
      <c r="C475" s="2" t="s">
        <v>1797</v>
      </c>
      <c r="D475" s="2" t="s">
        <v>37</v>
      </c>
      <c r="E475" s="26" t="s">
        <v>2476</v>
      </c>
      <c r="F475" s="2" t="s">
        <v>101</v>
      </c>
      <c r="G475" s="2"/>
      <c r="H475" s="2" t="s">
        <v>106</v>
      </c>
      <c r="I475" s="24">
        <v>46211</v>
      </c>
      <c r="J475" s="2"/>
      <c r="K475" s="25"/>
      <c r="L475" s="2" t="s">
        <v>2473</v>
      </c>
      <c r="M475" s="25"/>
      <c r="N475" s="56"/>
    </row>
    <row r="476" spans="1:14" s="6" customFormat="1" hidden="1" x14ac:dyDescent="0.35">
      <c r="A476" s="5" t="s">
        <v>1798</v>
      </c>
      <c r="B476" s="5" t="s">
        <v>1799</v>
      </c>
      <c r="C476" s="5" t="s">
        <v>1800</v>
      </c>
      <c r="D476" s="5" t="s">
        <v>241</v>
      </c>
      <c r="E476" s="5" t="s">
        <v>241</v>
      </c>
      <c r="F476" s="5" t="s">
        <v>241</v>
      </c>
      <c r="G476" s="5" t="s">
        <v>702</v>
      </c>
      <c r="H476" s="5" t="s">
        <v>1592</v>
      </c>
      <c r="I476" s="7">
        <v>46209</v>
      </c>
      <c r="J476" s="5"/>
      <c r="L476" s="5" t="s">
        <v>2474</v>
      </c>
      <c r="N476" s="55"/>
    </row>
    <row r="477" spans="1:14" s="6" customFormat="1" hidden="1" x14ac:dyDescent="0.35">
      <c r="A477" s="5" t="s">
        <v>1801</v>
      </c>
      <c r="B477" s="5" t="s">
        <v>1802</v>
      </c>
      <c r="C477" s="5" t="s">
        <v>1803</v>
      </c>
      <c r="D477" s="5" t="s">
        <v>241</v>
      </c>
      <c r="E477" s="5" t="s">
        <v>241</v>
      </c>
      <c r="F477" s="5" t="s">
        <v>241</v>
      </c>
      <c r="G477" s="5" t="s">
        <v>702</v>
      </c>
      <c r="H477" s="5" t="s">
        <v>1592</v>
      </c>
      <c r="I477" s="7">
        <v>46209</v>
      </c>
      <c r="J477" s="5"/>
      <c r="L477" s="5" t="s">
        <v>2474</v>
      </c>
      <c r="N477" s="55"/>
    </row>
    <row r="478" spans="1:14" s="6" customFormat="1" hidden="1" x14ac:dyDescent="0.35">
      <c r="A478" s="5" t="s">
        <v>1804</v>
      </c>
      <c r="B478" s="5" t="s">
        <v>1805</v>
      </c>
      <c r="C478" s="5" t="s">
        <v>1806</v>
      </c>
      <c r="D478" s="5" t="s">
        <v>241</v>
      </c>
      <c r="E478" s="5" t="s">
        <v>241</v>
      </c>
      <c r="F478" s="5" t="s">
        <v>241</v>
      </c>
      <c r="G478" s="5" t="s">
        <v>702</v>
      </c>
      <c r="H478" s="5" t="s">
        <v>1807</v>
      </c>
      <c r="I478" s="7">
        <v>46209</v>
      </c>
      <c r="J478" s="5"/>
      <c r="L478" s="5" t="s">
        <v>2474</v>
      </c>
      <c r="N478" s="55"/>
    </row>
    <row r="479" spans="1:14" s="6" customFormat="1" hidden="1" x14ac:dyDescent="0.35">
      <c r="A479" s="5" t="s">
        <v>1808</v>
      </c>
      <c r="B479" s="5" t="s">
        <v>1809</v>
      </c>
      <c r="C479" s="5" t="s">
        <v>1810</v>
      </c>
      <c r="D479" s="5" t="s">
        <v>241</v>
      </c>
      <c r="E479" s="5" t="s">
        <v>241</v>
      </c>
      <c r="F479" s="5" t="s">
        <v>241</v>
      </c>
      <c r="G479" s="5" t="s">
        <v>702</v>
      </c>
      <c r="H479" s="5" t="s">
        <v>1663</v>
      </c>
      <c r="I479" s="7">
        <v>46209</v>
      </c>
      <c r="J479" s="5"/>
      <c r="L479" s="5" t="s">
        <v>2474</v>
      </c>
      <c r="N479" s="55"/>
    </row>
    <row r="480" spans="1:14" s="6" customFormat="1" hidden="1" x14ac:dyDescent="0.35">
      <c r="A480" s="5" t="s">
        <v>1811</v>
      </c>
      <c r="B480" s="5" t="s">
        <v>1812</v>
      </c>
      <c r="C480" s="5" t="s">
        <v>1813</v>
      </c>
      <c r="D480" s="5" t="s">
        <v>241</v>
      </c>
      <c r="E480" s="5" t="s">
        <v>241</v>
      </c>
      <c r="F480" s="5" t="s">
        <v>241</v>
      </c>
      <c r="G480" s="5" t="s">
        <v>702</v>
      </c>
      <c r="H480" s="5" t="s">
        <v>1592</v>
      </c>
      <c r="I480" s="7">
        <v>46209</v>
      </c>
      <c r="J480" s="5"/>
      <c r="L480" s="5" t="s">
        <v>2474</v>
      </c>
      <c r="N480" s="55"/>
    </row>
    <row r="481" spans="1:14" s="6" customFormat="1" hidden="1" x14ac:dyDescent="0.35">
      <c r="A481" s="5" t="s">
        <v>1814</v>
      </c>
      <c r="B481" s="5" t="s">
        <v>1815</v>
      </c>
      <c r="C481" s="5" t="s">
        <v>1816</v>
      </c>
      <c r="D481" s="5" t="s">
        <v>241</v>
      </c>
      <c r="E481" s="5" t="s">
        <v>241</v>
      </c>
      <c r="F481" s="5" t="s">
        <v>241</v>
      </c>
      <c r="G481" s="5" t="s">
        <v>702</v>
      </c>
      <c r="H481" s="5" t="s">
        <v>1592</v>
      </c>
      <c r="I481" s="7">
        <v>46209</v>
      </c>
      <c r="J481" s="5"/>
      <c r="L481" s="5" t="s">
        <v>2474</v>
      </c>
      <c r="N481" s="55"/>
    </row>
    <row r="482" spans="1:14" s="6" customFormat="1" hidden="1" x14ac:dyDescent="0.35">
      <c r="A482" s="5" t="s">
        <v>1817</v>
      </c>
      <c r="B482" s="5" t="s">
        <v>1818</v>
      </c>
      <c r="C482" s="5" t="s">
        <v>1819</v>
      </c>
      <c r="D482" s="5" t="s">
        <v>241</v>
      </c>
      <c r="E482" s="5" t="s">
        <v>241</v>
      </c>
      <c r="F482" s="5" t="s">
        <v>241</v>
      </c>
      <c r="G482" s="5" t="s">
        <v>702</v>
      </c>
      <c r="H482" s="5" t="s">
        <v>1592</v>
      </c>
      <c r="I482" s="7">
        <v>46209</v>
      </c>
      <c r="J482" s="5"/>
      <c r="L482" s="5" t="s">
        <v>2474</v>
      </c>
      <c r="N482" s="55"/>
    </row>
    <row r="483" spans="1:14" s="6" customFormat="1" hidden="1" x14ac:dyDescent="0.35">
      <c r="A483" s="5" t="s">
        <v>1820</v>
      </c>
      <c r="B483" s="5" t="s">
        <v>1821</v>
      </c>
      <c r="C483" s="5" t="s">
        <v>1822</v>
      </c>
      <c r="D483" s="5" t="s">
        <v>241</v>
      </c>
      <c r="E483" s="5" t="s">
        <v>241</v>
      </c>
      <c r="F483" s="5" t="s">
        <v>241</v>
      </c>
      <c r="G483" s="5" t="s">
        <v>282</v>
      </c>
      <c r="H483" s="5" t="s">
        <v>1823</v>
      </c>
      <c r="I483" s="7">
        <v>46210</v>
      </c>
      <c r="J483" s="5"/>
      <c r="L483" s="5" t="s">
        <v>2474</v>
      </c>
      <c r="N483" s="55"/>
    </row>
    <row r="484" spans="1:14" s="1" customFormat="1" hidden="1" x14ac:dyDescent="0.35">
      <c r="A484" s="5" t="s">
        <v>1824</v>
      </c>
      <c r="B484" s="2" t="s">
        <v>1825</v>
      </c>
      <c r="C484" s="2" t="s">
        <v>1826</v>
      </c>
      <c r="D484" s="2" t="s">
        <v>50</v>
      </c>
      <c r="E484" s="26" t="s">
        <v>2476</v>
      </c>
      <c r="F484" s="2" t="s">
        <v>3605</v>
      </c>
      <c r="G484" s="2"/>
      <c r="H484" s="2" t="s">
        <v>370</v>
      </c>
      <c r="I484" s="24">
        <v>46216</v>
      </c>
      <c r="J484" s="2"/>
      <c r="K484" s="25"/>
      <c r="L484" s="2" t="s">
        <v>2473</v>
      </c>
      <c r="M484" s="25"/>
      <c r="N484" s="56"/>
    </row>
    <row r="485" spans="1:14" s="1" customFormat="1" hidden="1" x14ac:dyDescent="0.35">
      <c r="A485" s="5" t="s">
        <v>1827</v>
      </c>
      <c r="B485" s="5" t="s">
        <v>1828</v>
      </c>
      <c r="C485" s="5" t="s">
        <v>1829</v>
      </c>
      <c r="D485" s="5" t="s">
        <v>29</v>
      </c>
      <c r="E485" s="5" t="s">
        <v>395</v>
      </c>
      <c r="F485" s="2" t="s">
        <v>395</v>
      </c>
      <c r="G485" s="5"/>
      <c r="H485" s="5" t="s">
        <v>1830</v>
      </c>
      <c r="I485" s="7">
        <v>46216</v>
      </c>
      <c r="J485" s="6" t="s">
        <v>1171</v>
      </c>
      <c r="K485" s="6" t="s">
        <v>33</v>
      </c>
      <c r="L485" s="5" t="s">
        <v>2472</v>
      </c>
      <c r="M485" s="25"/>
      <c r="N485" s="56"/>
    </row>
    <row r="486" spans="1:14" s="1" customFormat="1" hidden="1" x14ac:dyDescent="0.35">
      <c r="A486" s="5" t="s">
        <v>1831</v>
      </c>
      <c r="B486" s="5" t="s">
        <v>1832</v>
      </c>
      <c r="C486" s="5" t="s">
        <v>1833</v>
      </c>
      <c r="D486" s="5" t="s">
        <v>29</v>
      </c>
      <c r="E486" s="5" t="s">
        <v>395</v>
      </c>
      <c r="F486" s="2" t="s">
        <v>395</v>
      </c>
      <c r="G486" s="5"/>
      <c r="H486" s="5" t="s">
        <v>413</v>
      </c>
      <c r="I486" s="7">
        <v>46216</v>
      </c>
      <c r="J486" s="6" t="s">
        <v>807</v>
      </c>
      <c r="K486" s="6" t="s">
        <v>33</v>
      </c>
      <c r="L486" s="5" t="s">
        <v>2472</v>
      </c>
      <c r="M486" s="25"/>
      <c r="N486" s="56"/>
    </row>
    <row r="487" spans="1:14" s="1" customFormat="1" hidden="1" x14ac:dyDescent="0.35">
      <c r="A487" s="5" t="s">
        <v>390</v>
      </c>
      <c r="B487" s="5" t="s">
        <v>389</v>
      </c>
      <c r="C487" s="5" t="s">
        <v>1834</v>
      </c>
      <c r="D487" s="5" t="s">
        <v>29</v>
      </c>
      <c r="E487" s="5" t="s">
        <v>395</v>
      </c>
      <c r="F487" s="2" t="s">
        <v>395</v>
      </c>
      <c r="G487" s="6"/>
      <c r="H487" s="5" t="s">
        <v>1835</v>
      </c>
      <c r="I487" s="7">
        <v>46218</v>
      </c>
      <c r="J487" s="6" t="s">
        <v>620</v>
      </c>
      <c r="K487" s="6" t="s">
        <v>33</v>
      </c>
      <c r="L487" s="25" t="s">
        <v>2475</v>
      </c>
      <c r="M487" s="25"/>
      <c r="N487" s="56"/>
    </row>
    <row r="488" spans="1:14" s="6" customFormat="1" hidden="1" x14ac:dyDescent="0.35">
      <c r="A488" s="5" t="s">
        <v>1836</v>
      </c>
      <c r="B488" s="5" t="s">
        <v>1837</v>
      </c>
      <c r="C488" s="5" t="s">
        <v>1838</v>
      </c>
      <c r="D488" s="5" t="s">
        <v>241</v>
      </c>
      <c r="E488" s="5" t="s">
        <v>241</v>
      </c>
      <c r="F488" s="5" t="s">
        <v>241</v>
      </c>
      <c r="G488" s="5" t="s">
        <v>702</v>
      </c>
      <c r="H488" s="5" t="s">
        <v>1592</v>
      </c>
      <c r="I488" s="7">
        <v>46216</v>
      </c>
      <c r="J488" s="5"/>
      <c r="L488" s="5" t="s">
        <v>2474</v>
      </c>
      <c r="N488" s="55"/>
    </row>
    <row r="489" spans="1:14" s="6" customFormat="1" hidden="1" x14ac:dyDescent="0.35">
      <c r="A489" s="5" t="s">
        <v>1839</v>
      </c>
      <c r="B489" s="5" t="s">
        <v>1840</v>
      </c>
      <c r="C489" s="5" t="s">
        <v>1841</v>
      </c>
      <c r="D489" s="5" t="s">
        <v>241</v>
      </c>
      <c r="E489" s="5" t="s">
        <v>241</v>
      </c>
      <c r="F489" s="5" t="s">
        <v>241</v>
      </c>
      <c r="G489" s="5" t="s">
        <v>702</v>
      </c>
      <c r="H489" s="5" t="s">
        <v>1592</v>
      </c>
      <c r="I489" s="7">
        <v>46216</v>
      </c>
      <c r="J489" s="5"/>
      <c r="L489" s="5" t="s">
        <v>2474</v>
      </c>
      <c r="N489" s="55"/>
    </row>
    <row r="490" spans="1:14" s="6" customFormat="1" hidden="1" x14ac:dyDescent="0.35">
      <c r="A490" s="5" t="s">
        <v>1842</v>
      </c>
      <c r="B490" s="5" t="s">
        <v>1843</v>
      </c>
      <c r="C490" s="5" t="s">
        <v>1844</v>
      </c>
      <c r="D490" s="5" t="s">
        <v>241</v>
      </c>
      <c r="E490" s="5" t="s">
        <v>241</v>
      </c>
      <c r="F490" s="5" t="s">
        <v>241</v>
      </c>
      <c r="G490" s="5" t="s">
        <v>702</v>
      </c>
      <c r="H490" s="5" t="s">
        <v>1592</v>
      </c>
      <c r="I490" s="7">
        <v>46216</v>
      </c>
      <c r="J490" s="5"/>
      <c r="L490" s="5" t="s">
        <v>2474</v>
      </c>
      <c r="N490" s="55"/>
    </row>
    <row r="491" spans="1:14" s="6" customFormat="1" hidden="1" x14ac:dyDescent="0.35">
      <c r="A491" s="5" t="s">
        <v>1845</v>
      </c>
      <c r="B491" s="5" t="s">
        <v>1846</v>
      </c>
      <c r="C491" s="5" t="s">
        <v>1847</v>
      </c>
      <c r="D491" s="5" t="s">
        <v>241</v>
      </c>
      <c r="E491" s="5" t="s">
        <v>241</v>
      </c>
      <c r="F491" s="5" t="s">
        <v>241</v>
      </c>
      <c r="G491" s="5" t="s">
        <v>702</v>
      </c>
      <c r="H491" s="5" t="s">
        <v>1592</v>
      </c>
      <c r="I491" s="7">
        <v>46216</v>
      </c>
      <c r="J491" s="5"/>
      <c r="L491" s="5" t="s">
        <v>2474</v>
      </c>
      <c r="N491" s="55"/>
    </row>
    <row r="492" spans="1:14" s="6" customFormat="1" hidden="1" x14ac:dyDescent="0.35">
      <c r="A492" s="5" t="s">
        <v>1848</v>
      </c>
      <c r="B492" s="5" t="s">
        <v>1849</v>
      </c>
      <c r="C492" s="5" t="s">
        <v>1850</v>
      </c>
      <c r="D492" s="5" t="s">
        <v>241</v>
      </c>
      <c r="E492" s="5" t="s">
        <v>241</v>
      </c>
      <c r="F492" s="5" t="s">
        <v>241</v>
      </c>
      <c r="G492" s="5" t="s">
        <v>702</v>
      </c>
      <c r="H492" s="5" t="s">
        <v>1592</v>
      </c>
      <c r="I492" s="7">
        <v>46216</v>
      </c>
      <c r="J492" s="5"/>
      <c r="L492" s="5" t="s">
        <v>2474</v>
      </c>
      <c r="N492" s="55"/>
    </row>
    <row r="493" spans="1:14" s="6" customFormat="1" hidden="1" x14ac:dyDescent="0.35">
      <c r="A493" s="5" t="s">
        <v>1851</v>
      </c>
      <c r="B493" s="5" t="s">
        <v>1852</v>
      </c>
      <c r="C493" s="5" t="s">
        <v>1853</v>
      </c>
      <c r="D493" s="5" t="s">
        <v>241</v>
      </c>
      <c r="E493" s="5" t="s">
        <v>241</v>
      </c>
      <c r="F493" s="5" t="s">
        <v>241</v>
      </c>
      <c r="G493" s="5" t="s">
        <v>702</v>
      </c>
      <c r="H493" s="5" t="s">
        <v>1592</v>
      </c>
      <c r="I493" s="7">
        <v>46216</v>
      </c>
      <c r="J493" s="5"/>
      <c r="L493" s="5" t="s">
        <v>2474</v>
      </c>
      <c r="N493" s="55"/>
    </row>
    <row r="494" spans="1:14" s="6" customFormat="1" hidden="1" x14ac:dyDescent="0.35">
      <c r="A494" s="5" t="s">
        <v>1854</v>
      </c>
      <c r="B494" s="5" t="s">
        <v>1855</v>
      </c>
      <c r="C494" s="5" t="s">
        <v>1856</v>
      </c>
      <c r="D494" s="5" t="s">
        <v>241</v>
      </c>
      <c r="E494" s="5" t="s">
        <v>241</v>
      </c>
      <c r="F494" s="5" t="s">
        <v>241</v>
      </c>
      <c r="G494" s="5" t="s">
        <v>702</v>
      </c>
      <c r="H494" s="5" t="s">
        <v>1592</v>
      </c>
      <c r="I494" s="7">
        <v>46216</v>
      </c>
      <c r="J494" s="5"/>
      <c r="L494" s="5" t="s">
        <v>2474</v>
      </c>
      <c r="N494" s="55"/>
    </row>
    <row r="495" spans="1:14" s="6" customFormat="1" hidden="1" x14ac:dyDescent="0.35">
      <c r="A495" s="5" t="s">
        <v>1857</v>
      </c>
      <c r="B495" s="5" t="s">
        <v>1858</v>
      </c>
      <c r="C495" s="5" t="s">
        <v>1859</v>
      </c>
      <c r="D495" s="5" t="s">
        <v>241</v>
      </c>
      <c r="E495" s="5" t="s">
        <v>241</v>
      </c>
      <c r="F495" s="5" t="s">
        <v>241</v>
      </c>
      <c r="G495" s="5" t="s">
        <v>702</v>
      </c>
      <c r="H495" s="5" t="s">
        <v>1592</v>
      </c>
      <c r="I495" s="7">
        <v>46216</v>
      </c>
      <c r="J495" s="5"/>
      <c r="L495" s="5" t="s">
        <v>2474</v>
      </c>
      <c r="N495" s="55"/>
    </row>
    <row r="496" spans="1:14" s="6" customFormat="1" hidden="1" x14ac:dyDescent="0.35">
      <c r="A496" s="5" t="s">
        <v>1860</v>
      </c>
      <c r="B496" s="5" t="s">
        <v>1861</v>
      </c>
      <c r="C496" s="5" t="s">
        <v>1862</v>
      </c>
      <c r="D496" s="5" t="s">
        <v>241</v>
      </c>
      <c r="E496" s="5" t="s">
        <v>241</v>
      </c>
      <c r="F496" s="5" t="s">
        <v>241</v>
      </c>
      <c r="G496" s="5" t="s">
        <v>702</v>
      </c>
      <c r="H496" s="5" t="s">
        <v>1592</v>
      </c>
      <c r="I496" s="7">
        <v>46216</v>
      </c>
      <c r="J496" s="5"/>
      <c r="L496" s="5" t="s">
        <v>2474</v>
      </c>
      <c r="N496" s="55"/>
    </row>
    <row r="497" spans="1:14" s="6" customFormat="1" hidden="1" x14ac:dyDescent="0.35">
      <c r="A497" s="5" t="s">
        <v>1863</v>
      </c>
      <c r="B497" s="5" t="s">
        <v>1864</v>
      </c>
      <c r="C497" s="5" t="s">
        <v>1865</v>
      </c>
      <c r="D497" s="5" t="s">
        <v>241</v>
      </c>
      <c r="E497" s="5" t="s">
        <v>241</v>
      </c>
      <c r="F497" s="5" t="s">
        <v>241</v>
      </c>
      <c r="G497" s="5" t="s">
        <v>702</v>
      </c>
      <c r="H497" s="5" t="s">
        <v>1592</v>
      </c>
      <c r="I497" s="7">
        <v>46216</v>
      </c>
      <c r="J497" s="5"/>
      <c r="L497" s="5" t="s">
        <v>2474</v>
      </c>
      <c r="N497" s="55"/>
    </row>
    <row r="498" spans="1:14" s="6" customFormat="1" hidden="1" x14ac:dyDescent="0.35">
      <c r="A498" s="5" t="s">
        <v>1866</v>
      </c>
      <c r="B498" s="5" t="s">
        <v>1867</v>
      </c>
      <c r="C498" s="5" t="s">
        <v>1868</v>
      </c>
      <c r="D498" s="5" t="s">
        <v>241</v>
      </c>
      <c r="E498" s="5" t="s">
        <v>241</v>
      </c>
      <c r="F498" s="5" t="s">
        <v>241</v>
      </c>
      <c r="G498" s="5" t="s">
        <v>702</v>
      </c>
      <c r="H498" s="5" t="s">
        <v>1592</v>
      </c>
      <c r="I498" s="7">
        <v>46216</v>
      </c>
      <c r="J498" s="5"/>
      <c r="L498" s="5" t="s">
        <v>2474</v>
      </c>
      <c r="N498" s="55"/>
    </row>
    <row r="499" spans="1:14" s="6" customFormat="1" hidden="1" x14ac:dyDescent="0.35">
      <c r="A499" s="5" t="s">
        <v>1869</v>
      </c>
      <c r="B499" s="5" t="s">
        <v>1870</v>
      </c>
      <c r="C499" s="5" t="s">
        <v>1871</v>
      </c>
      <c r="D499" s="5" t="s">
        <v>241</v>
      </c>
      <c r="E499" s="5" t="s">
        <v>241</v>
      </c>
      <c r="F499" s="5" t="s">
        <v>241</v>
      </c>
      <c r="G499" s="5" t="s">
        <v>138</v>
      </c>
      <c r="H499" s="5" t="s">
        <v>1872</v>
      </c>
      <c r="I499" s="7">
        <v>46217</v>
      </c>
      <c r="J499" s="5"/>
      <c r="L499" s="5" t="s">
        <v>2474</v>
      </c>
      <c r="N499" s="55"/>
    </row>
    <row r="500" spans="1:14" s="6" customFormat="1" hidden="1" x14ac:dyDescent="0.35">
      <c r="A500" s="5" t="s">
        <v>1873</v>
      </c>
      <c r="B500" s="5" t="s">
        <v>1874</v>
      </c>
      <c r="C500" s="5" t="s">
        <v>1875</v>
      </c>
      <c r="D500" s="5" t="s">
        <v>241</v>
      </c>
      <c r="E500" s="5" t="s">
        <v>241</v>
      </c>
      <c r="F500" s="5" t="s">
        <v>241</v>
      </c>
      <c r="G500" s="5" t="s">
        <v>138</v>
      </c>
      <c r="H500" s="5" t="s">
        <v>1876</v>
      </c>
      <c r="I500" s="7">
        <v>46217</v>
      </c>
      <c r="J500" s="5"/>
      <c r="L500" s="5" t="s">
        <v>2474</v>
      </c>
      <c r="N500" s="55"/>
    </row>
    <row r="501" spans="1:14" s="1" customFormat="1" hidden="1" x14ac:dyDescent="0.35">
      <c r="A501" s="5" t="s">
        <v>1877</v>
      </c>
      <c r="B501" s="5" t="s">
        <v>1878</v>
      </c>
      <c r="C501" s="5" t="s">
        <v>1879</v>
      </c>
      <c r="D501" s="5" t="s">
        <v>29</v>
      </c>
      <c r="E501" s="5" t="s">
        <v>395</v>
      </c>
      <c r="F501" s="2" t="s">
        <v>395</v>
      </c>
      <c r="G501" s="6"/>
      <c r="H501" s="5" t="s">
        <v>187</v>
      </c>
      <c r="I501" s="7">
        <v>46225</v>
      </c>
      <c r="J501" s="6" t="s">
        <v>56</v>
      </c>
      <c r="K501" s="6" t="s">
        <v>33</v>
      </c>
      <c r="L501" s="25" t="s">
        <v>2475</v>
      </c>
      <c r="M501" s="25"/>
      <c r="N501" s="56"/>
    </row>
    <row r="502" spans="1:14" s="6" customFormat="1" hidden="1" x14ac:dyDescent="0.35">
      <c r="A502" s="5" t="s">
        <v>1880</v>
      </c>
      <c r="B502" s="5" t="s">
        <v>1881</v>
      </c>
      <c r="C502" s="5" t="s">
        <v>1882</v>
      </c>
      <c r="D502" s="5" t="s">
        <v>241</v>
      </c>
      <c r="E502" s="5" t="s">
        <v>241</v>
      </c>
      <c r="F502" s="5" t="s">
        <v>241</v>
      </c>
      <c r="G502" s="5" t="s">
        <v>282</v>
      </c>
      <c r="H502" s="5" t="s">
        <v>1560</v>
      </c>
      <c r="I502" s="7">
        <v>46213</v>
      </c>
      <c r="J502" s="5"/>
      <c r="L502" s="5" t="s">
        <v>2474</v>
      </c>
      <c r="N502" s="55"/>
    </row>
    <row r="503" spans="1:14" s="6" customFormat="1" hidden="1" x14ac:dyDescent="0.35">
      <c r="A503" s="5" t="s">
        <v>1883</v>
      </c>
      <c r="B503" s="5" t="s">
        <v>1884</v>
      </c>
      <c r="C503" s="5" t="s">
        <v>1885</v>
      </c>
      <c r="D503" s="5" t="s">
        <v>241</v>
      </c>
      <c r="E503" s="5" t="s">
        <v>241</v>
      </c>
      <c r="F503" s="5" t="s">
        <v>241</v>
      </c>
      <c r="G503" s="5" t="s">
        <v>282</v>
      </c>
      <c r="H503" s="5" t="s">
        <v>1560</v>
      </c>
      <c r="I503" s="7">
        <v>46216</v>
      </c>
      <c r="J503" s="5"/>
      <c r="L503" s="5" t="s">
        <v>2474</v>
      </c>
      <c r="N503" s="55"/>
    </row>
    <row r="504" spans="1:14" s="6" customFormat="1" hidden="1" x14ac:dyDescent="0.35">
      <c r="A504" s="5" t="s">
        <v>1886</v>
      </c>
      <c r="B504" s="5" t="s">
        <v>1887</v>
      </c>
      <c r="C504" s="5" t="s">
        <v>1888</v>
      </c>
      <c r="D504" s="5" t="s">
        <v>241</v>
      </c>
      <c r="E504" s="5" t="s">
        <v>241</v>
      </c>
      <c r="F504" s="5" t="s">
        <v>241</v>
      </c>
      <c r="G504" s="5" t="s">
        <v>282</v>
      </c>
      <c r="H504" s="5" t="s">
        <v>1560</v>
      </c>
      <c r="I504" s="7">
        <v>46213</v>
      </c>
      <c r="J504" s="5"/>
      <c r="L504" s="5" t="s">
        <v>2474</v>
      </c>
      <c r="N504" s="55"/>
    </row>
    <row r="505" spans="1:14" s="6" customFormat="1" hidden="1" x14ac:dyDescent="0.35">
      <c r="A505" s="5" t="s">
        <v>1889</v>
      </c>
      <c r="B505" s="5" t="s">
        <v>1890</v>
      </c>
      <c r="C505" s="5" t="s">
        <v>1891</v>
      </c>
      <c r="D505" s="5" t="s">
        <v>241</v>
      </c>
      <c r="E505" s="5" t="s">
        <v>241</v>
      </c>
      <c r="F505" s="5" t="s">
        <v>241</v>
      </c>
      <c r="G505" s="5" t="s">
        <v>282</v>
      </c>
      <c r="H505" s="5" t="s">
        <v>1892</v>
      </c>
      <c r="I505" s="7">
        <v>46216</v>
      </c>
      <c r="J505" s="5"/>
      <c r="L505" s="5" t="s">
        <v>2474</v>
      </c>
      <c r="N505" s="55"/>
    </row>
    <row r="506" spans="1:14" s="6" customFormat="1" hidden="1" x14ac:dyDescent="0.35">
      <c r="A506" s="5" t="s">
        <v>1893</v>
      </c>
      <c r="B506" s="5" t="s">
        <v>1894</v>
      </c>
      <c r="C506" s="5" t="s">
        <v>1895</v>
      </c>
      <c r="D506" s="5" t="s">
        <v>241</v>
      </c>
      <c r="E506" s="5" t="s">
        <v>241</v>
      </c>
      <c r="F506" s="5" t="s">
        <v>241</v>
      </c>
      <c r="G506" s="5" t="s">
        <v>282</v>
      </c>
      <c r="H506" s="5" t="s">
        <v>1560</v>
      </c>
      <c r="I506" s="7">
        <v>46213</v>
      </c>
      <c r="J506" s="5"/>
      <c r="L506" s="5" t="s">
        <v>2474</v>
      </c>
      <c r="N506" s="55"/>
    </row>
    <row r="507" spans="1:14" s="6" customFormat="1" hidden="1" x14ac:dyDescent="0.35">
      <c r="A507" s="5" t="s">
        <v>1896</v>
      </c>
      <c r="B507" s="5" t="s">
        <v>1897</v>
      </c>
      <c r="C507" s="5" t="s">
        <v>1898</v>
      </c>
      <c r="D507" s="5" t="s">
        <v>241</v>
      </c>
      <c r="E507" s="5" t="s">
        <v>241</v>
      </c>
      <c r="F507" s="5" t="s">
        <v>241</v>
      </c>
      <c r="G507" s="5" t="s">
        <v>282</v>
      </c>
      <c r="H507" s="5" t="s">
        <v>1560</v>
      </c>
      <c r="I507" s="7">
        <v>46216</v>
      </c>
      <c r="J507" s="5"/>
      <c r="L507" s="5" t="s">
        <v>2474</v>
      </c>
      <c r="N507" s="55"/>
    </row>
    <row r="508" spans="1:14" s="6" customFormat="1" hidden="1" x14ac:dyDescent="0.35">
      <c r="A508" s="5" t="s">
        <v>1899</v>
      </c>
      <c r="B508" s="5" t="s">
        <v>1900</v>
      </c>
      <c r="C508" s="5" t="s">
        <v>1901</v>
      </c>
      <c r="D508" s="5" t="s">
        <v>241</v>
      </c>
      <c r="E508" s="5" t="s">
        <v>241</v>
      </c>
      <c r="F508" s="5" t="s">
        <v>241</v>
      </c>
      <c r="G508" s="5" t="s">
        <v>282</v>
      </c>
      <c r="H508" s="5" t="s">
        <v>1560</v>
      </c>
      <c r="I508" s="7">
        <v>46216</v>
      </c>
      <c r="J508" s="5"/>
      <c r="L508" s="5" t="s">
        <v>2474</v>
      </c>
      <c r="N508" s="55"/>
    </row>
    <row r="509" spans="1:14" s="6" customFormat="1" hidden="1" x14ac:dyDescent="0.35">
      <c r="A509" s="5" t="s">
        <v>1902</v>
      </c>
      <c r="B509" s="5" t="s">
        <v>1903</v>
      </c>
      <c r="C509" s="5" t="s">
        <v>1904</v>
      </c>
      <c r="D509" s="5" t="s">
        <v>241</v>
      </c>
      <c r="E509" s="5" t="s">
        <v>241</v>
      </c>
      <c r="F509" s="5" t="s">
        <v>241</v>
      </c>
      <c r="G509" s="5" t="s">
        <v>282</v>
      </c>
      <c r="H509" s="5" t="s">
        <v>1905</v>
      </c>
      <c r="I509" s="7">
        <v>46223</v>
      </c>
      <c r="J509" s="5"/>
      <c r="L509" s="5" t="s">
        <v>2474</v>
      </c>
      <c r="N509" s="55"/>
    </row>
    <row r="510" spans="1:14" s="6" customFormat="1" hidden="1" x14ac:dyDescent="0.35">
      <c r="A510" s="5" t="s">
        <v>1906</v>
      </c>
      <c r="B510" s="5" t="s">
        <v>1907</v>
      </c>
      <c r="C510" s="5" t="s">
        <v>1908</v>
      </c>
      <c r="D510" s="5" t="s">
        <v>241</v>
      </c>
      <c r="E510" s="5" t="s">
        <v>241</v>
      </c>
      <c r="F510" s="5" t="s">
        <v>241</v>
      </c>
      <c r="G510" s="5" t="s">
        <v>63</v>
      </c>
      <c r="H510" s="5" t="s">
        <v>1747</v>
      </c>
      <c r="I510" s="7">
        <v>46223</v>
      </c>
      <c r="J510" s="5"/>
      <c r="L510" s="5" t="s">
        <v>2474</v>
      </c>
      <c r="N510" s="55"/>
    </row>
    <row r="511" spans="1:14" s="6" customFormat="1" hidden="1" x14ac:dyDescent="0.35">
      <c r="A511" s="5" t="s">
        <v>1909</v>
      </c>
      <c r="B511" s="5" t="s">
        <v>1910</v>
      </c>
      <c r="C511" s="5" t="s">
        <v>1911</v>
      </c>
      <c r="D511" s="5" t="s">
        <v>241</v>
      </c>
      <c r="E511" s="5" t="s">
        <v>241</v>
      </c>
      <c r="F511" s="5" t="s">
        <v>241</v>
      </c>
      <c r="G511" s="5" t="s">
        <v>63</v>
      </c>
      <c r="H511" s="5" t="s">
        <v>1747</v>
      </c>
      <c r="I511" s="7">
        <v>46223</v>
      </c>
      <c r="J511" s="5"/>
      <c r="L511" s="5" t="s">
        <v>2474</v>
      </c>
      <c r="N511" s="55"/>
    </row>
    <row r="512" spans="1:14" s="6" customFormat="1" hidden="1" x14ac:dyDescent="0.35">
      <c r="A512" s="5" t="s">
        <v>1912</v>
      </c>
      <c r="B512" s="5" t="s">
        <v>1913</v>
      </c>
      <c r="C512" s="5" t="s">
        <v>1914</v>
      </c>
      <c r="D512" s="5" t="s">
        <v>241</v>
      </c>
      <c r="E512" s="5" t="s">
        <v>241</v>
      </c>
      <c r="F512" s="5" t="s">
        <v>241</v>
      </c>
      <c r="G512" s="5" t="s">
        <v>702</v>
      </c>
      <c r="H512" s="5" t="s">
        <v>1915</v>
      </c>
      <c r="I512" s="7">
        <v>46219</v>
      </c>
      <c r="J512" s="5"/>
      <c r="L512" s="5" t="s">
        <v>2474</v>
      </c>
      <c r="N512" s="55"/>
    </row>
    <row r="513" spans="1:14" s="6" customFormat="1" hidden="1" x14ac:dyDescent="0.35">
      <c r="A513" s="5" t="s">
        <v>1916</v>
      </c>
      <c r="B513" s="5" t="s">
        <v>1917</v>
      </c>
      <c r="C513" s="5" t="s">
        <v>1918</v>
      </c>
      <c r="D513" s="5" t="s">
        <v>241</v>
      </c>
      <c r="E513" s="5" t="s">
        <v>241</v>
      </c>
      <c r="F513" s="5" t="s">
        <v>241</v>
      </c>
      <c r="G513" s="5" t="s">
        <v>1352</v>
      </c>
      <c r="H513" s="5" t="s">
        <v>1919</v>
      </c>
      <c r="I513" s="7">
        <v>46217</v>
      </c>
      <c r="J513" s="5"/>
      <c r="L513" s="5" t="s">
        <v>2474</v>
      </c>
      <c r="N513" s="55"/>
    </row>
    <row r="514" spans="1:14" s="6" customFormat="1" hidden="1" x14ac:dyDescent="0.35">
      <c r="A514" s="5" t="s">
        <v>1920</v>
      </c>
      <c r="B514" s="5" t="s">
        <v>1921</v>
      </c>
      <c r="C514" s="5" t="s">
        <v>1922</v>
      </c>
      <c r="D514" s="5" t="s">
        <v>241</v>
      </c>
      <c r="E514" s="5" t="s">
        <v>241</v>
      </c>
      <c r="F514" s="5" t="s">
        <v>241</v>
      </c>
      <c r="G514" s="5" t="s">
        <v>702</v>
      </c>
      <c r="H514" s="5" t="s">
        <v>1592</v>
      </c>
      <c r="I514" s="7">
        <v>46230</v>
      </c>
      <c r="J514" s="5"/>
      <c r="L514" s="5" t="s">
        <v>2474</v>
      </c>
      <c r="N514" s="55"/>
    </row>
    <row r="515" spans="1:14" s="6" customFormat="1" hidden="1" x14ac:dyDescent="0.35">
      <c r="A515" s="5" t="s">
        <v>1923</v>
      </c>
      <c r="B515" s="5" t="s">
        <v>1924</v>
      </c>
      <c r="C515" s="5" t="s">
        <v>1925</v>
      </c>
      <c r="D515" s="5" t="s">
        <v>241</v>
      </c>
      <c r="E515" s="5" t="s">
        <v>241</v>
      </c>
      <c r="F515" s="5" t="s">
        <v>241</v>
      </c>
      <c r="G515" s="5" t="s">
        <v>702</v>
      </c>
      <c r="H515" s="5" t="s">
        <v>1592</v>
      </c>
      <c r="I515" s="7">
        <v>46230</v>
      </c>
      <c r="J515" s="5"/>
      <c r="L515" s="5" t="s">
        <v>2474</v>
      </c>
      <c r="N515" s="55"/>
    </row>
    <row r="516" spans="1:14" s="6" customFormat="1" hidden="1" x14ac:dyDescent="0.35">
      <c r="A516" s="5" t="s">
        <v>1926</v>
      </c>
      <c r="B516" s="5" t="s">
        <v>1927</v>
      </c>
      <c r="C516" s="5" t="s">
        <v>1928</v>
      </c>
      <c r="D516" s="5" t="s">
        <v>241</v>
      </c>
      <c r="E516" s="5" t="s">
        <v>241</v>
      </c>
      <c r="F516" s="5" t="s">
        <v>241</v>
      </c>
      <c r="G516" s="5" t="s">
        <v>702</v>
      </c>
      <c r="H516" s="5" t="s">
        <v>1592</v>
      </c>
      <c r="I516" s="7">
        <v>46230</v>
      </c>
      <c r="J516" s="5"/>
      <c r="L516" s="5" t="s">
        <v>2474</v>
      </c>
      <c r="N516" s="55"/>
    </row>
    <row r="517" spans="1:14" s="6" customFormat="1" hidden="1" x14ac:dyDescent="0.35">
      <c r="A517" s="5" t="s">
        <v>1929</v>
      </c>
      <c r="B517" s="5" t="s">
        <v>1930</v>
      </c>
      <c r="C517" s="5" t="s">
        <v>1931</v>
      </c>
      <c r="D517" s="5" t="s">
        <v>241</v>
      </c>
      <c r="E517" s="5" t="s">
        <v>241</v>
      </c>
      <c r="F517" s="5" t="s">
        <v>241</v>
      </c>
      <c r="G517" s="5" t="s">
        <v>702</v>
      </c>
      <c r="H517" s="5" t="s">
        <v>1599</v>
      </c>
      <c r="I517" s="7">
        <v>46230</v>
      </c>
      <c r="J517" s="5"/>
      <c r="L517" s="5" t="s">
        <v>2474</v>
      </c>
      <c r="N517" s="55"/>
    </row>
    <row r="518" spans="1:14" s="6" customFormat="1" hidden="1" x14ac:dyDescent="0.35">
      <c r="A518" s="5" t="s">
        <v>1932</v>
      </c>
      <c r="B518" s="5" t="s">
        <v>1933</v>
      </c>
      <c r="C518" s="5" t="s">
        <v>1934</v>
      </c>
      <c r="D518" s="5" t="s">
        <v>241</v>
      </c>
      <c r="E518" s="5" t="s">
        <v>241</v>
      </c>
      <c r="F518" s="5" t="s">
        <v>241</v>
      </c>
      <c r="G518" s="5" t="s">
        <v>702</v>
      </c>
      <c r="H518" s="5" t="s">
        <v>1592</v>
      </c>
      <c r="I518" s="7">
        <v>46230</v>
      </c>
      <c r="J518" s="5"/>
      <c r="L518" s="5" t="s">
        <v>2474</v>
      </c>
      <c r="N518" s="55"/>
    </row>
    <row r="519" spans="1:14" s="6" customFormat="1" hidden="1" x14ac:dyDescent="0.35">
      <c r="A519" s="5" t="s">
        <v>1935</v>
      </c>
      <c r="B519" s="5" t="s">
        <v>1936</v>
      </c>
      <c r="C519" s="5" t="s">
        <v>1937</v>
      </c>
      <c r="D519" s="5" t="s">
        <v>241</v>
      </c>
      <c r="E519" s="5" t="s">
        <v>241</v>
      </c>
      <c r="F519" s="5" t="s">
        <v>241</v>
      </c>
      <c r="G519" s="5" t="s">
        <v>702</v>
      </c>
      <c r="H519" s="5" t="s">
        <v>1592</v>
      </c>
      <c r="I519" s="7">
        <v>46230</v>
      </c>
      <c r="J519" s="5"/>
      <c r="L519" s="5" t="s">
        <v>2474</v>
      </c>
      <c r="N519" s="55"/>
    </row>
    <row r="520" spans="1:14" s="6" customFormat="1" hidden="1" x14ac:dyDescent="0.35">
      <c r="A520" s="5" t="s">
        <v>1938</v>
      </c>
      <c r="B520" s="5" t="s">
        <v>1939</v>
      </c>
      <c r="C520" s="5" t="s">
        <v>1940</v>
      </c>
      <c r="D520" s="5" t="s">
        <v>241</v>
      </c>
      <c r="E520" s="5" t="s">
        <v>241</v>
      </c>
      <c r="F520" s="5" t="s">
        <v>241</v>
      </c>
      <c r="G520" s="5" t="s">
        <v>702</v>
      </c>
      <c r="H520" s="5" t="s">
        <v>1599</v>
      </c>
      <c r="I520" s="7">
        <v>46230</v>
      </c>
      <c r="J520" s="5"/>
      <c r="L520" s="5" t="s">
        <v>2474</v>
      </c>
      <c r="N520" s="55"/>
    </row>
    <row r="521" spans="1:14" s="6" customFormat="1" hidden="1" x14ac:dyDescent="0.35">
      <c r="A521" s="5" t="s">
        <v>1941</v>
      </c>
      <c r="B521" s="5" t="s">
        <v>1942</v>
      </c>
      <c r="C521" s="5" t="s">
        <v>1943</v>
      </c>
      <c r="D521" s="5" t="s">
        <v>241</v>
      </c>
      <c r="E521" s="5" t="s">
        <v>241</v>
      </c>
      <c r="F521" s="5" t="s">
        <v>241</v>
      </c>
      <c r="G521" s="5" t="s">
        <v>702</v>
      </c>
      <c r="H521" s="5" t="s">
        <v>1592</v>
      </c>
      <c r="I521" s="7">
        <v>46230</v>
      </c>
      <c r="J521" s="5"/>
      <c r="L521" s="5" t="s">
        <v>2474</v>
      </c>
      <c r="N521" s="55"/>
    </row>
    <row r="522" spans="1:14" s="6" customFormat="1" hidden="1" x14ac:dyDescent="0.35">
      <c r="A522" s="5" t="s">
        <v>1944</v>
      </c>
      <c r="B522" s="5" t="s">
        <v>1945</v>
      </c>
      <c r="C522" s="5" t="s">
        <v>1946</v>
      </c>
      <c r="D522" s="5" t="s">
        <v>241</v>
      </c>
      <c r="E522" s="5" t="s">
        <v>241</v>
      </c>
      <c r="F522" s="5" t="s">
        <v>241</v>
      </c>
      <c r="G522" s="5" t="s">
        <v>702</v>
      </c>
      <c r="H522" s="5" t="s">
        <v>1592</v>
      </c>
      <c r="I522" s="7">
        <v>46230</v>
      </c>
      <c r="J522" s="5"/>
      <c r="L522" s="5" t="s">
        <v>2474</v>
      </c>
      <c r="N522" s="55"/>
    </row>
    <row r="523" spans="1:14" s="6" customFormat="1" hidden="1" x14ac:dyDescent="0.35">
      <c r="A523" s="5" t="s">
        <v>1947</v>
      </c>
      <c r="B523" s="5" t="s">
        <v>1948</v>
      </c>
      <c r="C523" s="5" t="s">
        <v>1949</v>
      </c>
      <c r="D523" s="5" t="s">
        <v>241</v>
      </c>
      <c r="E523" s="5" t="s">
        <v>241</v>
      </c>
      <c r="F523" s="5" t="s">
        <v>241</v>
      </c>
      <c r="G523" s="5" t="s">
        <v>702</v>
      </c>
      <c r="H523" s="5" t="s">
        <v>1592</v>
      </c>
      <c r="I523" s="7">
        <v>46230</v>
      </c>
      <c r="J523" s="5"/>
      <c r="L523" s="5" t="s">
        <v>2474</v>
      </c>
      <c r="N523" s="55"/>
    </row>
    <row r="524" spans="1:14" s="6" customFormat="1" hidden="1" x14ac:dyDescent="0.35">
      <c r="A524" s="5" t="s">
        <v>1950</v>
      </c>
      <c r="B524" s="5" t="s">
        <v>1951</v>
      </c>
      <c r="C524" s="5" t="s">
        <v>1952</v>
      </c>
      <c r="D524" s="5" t="s">
        <v>241</v>
      </c>
      <c r="E524" s="5" t="s">
        <v>241</v>
      </c>
      <c r="F524" s="5" t="s">
        <v>241</v>
      </c>
      <c r="G524" s="5" t="s">
        <v>702</v>
      </c>
      <c r="H524" s="5" t="s">
        <v>1592</v>
      </c>
      <c r="I524" s="7">
        <v>46230</v>
      </c>
      <c r="J524" s="5"/>
      <c r="L524" s="5" t="s">
        <v>2474</v>
      </c>
      <c r="N524" s="55"/>
    </row>
    <row r="525" spans="1:14" s="6" customFormat="1" hidden="1" x14ac:dyDescent="0.35">
      <c r="A525" s="5" t="s">
        <v>1953</v>
      </c>
      <c r="B525" s="5" t="s">
        <v>1954</v>
      </c>
      <c r="C525" s="5" t="s">
        <v>1955</v>
      </c>
      <c r="D525" s="5" t="s">
        <v>241</v>
      </c>
      <c r="E525" s="5" t="s">
        <v>241</v>
      </c>
      <c r="F525" s="5" t="s">
        <v>241</v>
      </c>
      <c r="G525" s="5" t="s">
        <v>702</v>
      </c>
      <c r="H525" s="5" t="s">
        <v>1592</v>
      </c>
      <c r="I525" s="7">
        <v>46230</v>
      </c>
      <c r="J525" s="5"/>
      <c r="L525" s="5" t="s">
        <v>2474</v>
      </c>
      <c r="N525" s="55"/>
    </row>
    <row r="526" spans="1:14" s="6" customFormat="1" hidden="1" x14ac:dyDescent="0.35">
      <c r="A526" s="5" t="s">
        <v>1956</v>
      </c>
      <c r="B526" s="5" t="s">
        <v>1957</v>
      </c>
      <c r="C526" s="5" t="s">
        <v>1958</v>
      </c>
      <c r="D526" s="5" t="s">
        <v>241</v>
      </c>
      <c r="E526" s="5" t="s">
        <v>241</v>
      </c>
      <c r="F526" s="5" t="s">
        <v>241</v>
      </c>
      <c r="G526" s="5" t="s">
        <v>63</v>
      </c>
      <c r="H526" s="5" t="s">
        <v>1500</v>
      </c>
      <c r="I526" s="7">
        <v>46230</v>
      </c>
      <c r="J526" s="5"/>
      <c r="L526" s="5" t="s">
        <v>2474</v>
      </c>
      <c r="N526" s="55"/>
    </row>
    <row r="527" spans="1:14" s="6" customFormat="1" hidden="1" x14ac:dyDescent="0.35">
      <c r="A527" s="5" t="s">
        <v>1959</v>
      </c>
      <c r="B527" s="5" t="s">
        <v>1960</v>
      </c>
      <c r="C527" s="5" t="s">
        <v>1961</v>
      </c>
      <c r="D527" s="5" t="s">
        <v>241</v>
      </c>
      <c r="E527" s="5" t="s">
        <v>241</v>
      </c>
      <c r="F527" s="5" t="s">
        <v>241</v>
      </c>
      <c r="G527" s="5" t="s">
        <v>63</v>
      </c>
      <c r="H527" s="5" t="s">
        <v>1500</v>
      </c>
      <c r="I527" s="7">
        <v>46230</v>
      </c>
      <c r="J527" s="5"/>
      <c r="L527" s="5" t="s">
        <v>2474</v>
      </c>
      <c r="N527" s="55"/>
    </row>
    <row r="528" spans="1:14" s="6" customFormat="1" hidden="1" x14ac:dyDescent="0.35">
      <c r="A528" s="5" t="s">
        <v>1962</v>
      </c>
      <c r="B528" s="5" t="s">
        <v>1963</v>
      </c>
      <c r="C528" s="5" t="s">
        <v>1964</v>
      </c>
      <c r="D528" s="5" t="s">
        <v>241</v>
      </c>
      <c r="E528" s="5" t="s">
        <v>241</v>
      </c>
      <c r="F528" s="5" t="s">
        <v>241</v>
      </c>
      <c r="G528" s="5" t="s">
        <v>702</v>
      </c>
      <c r="H528" s="5" t="s">
        <v>1592</v>
      </c>
      <c r="I528" s="7">
        <v>46230</v>
      </c>
      <c r="J528" s="5"/>
      <c r="L528" s="5" t="s">
        <v>2474</v>
      </c>
      <c r="N528" s="55"/>
    </row>
    <row r="529" spans="1:14" s="6" customFormat="1" hidden="1" x14ac:dyDescent="0.35">
      <c r="A529" s="5" t="s">
        <v>1965</v>
      </c>
      <c r="B529" s="5" t="s">
        <v>1966</v>
      </c>
      <c r="C529" s="5" t="s">
        <v>1967</v>
      </c>
      <c r="D529" s="5" t="s">
        <v>241</v>
      </c>
      <c r="E529" s="5" t="s">
        <v>241</v>
      </c>
      <c r="F529" s="5" t="s">
        <v>241</v>
      </c>
      <c r="G529" s="5" t="s">
        <v>702</v>
      </c>
      <c r="H529" s="5" t="s">
        <v>1592</v>
      </c>
      <c r="I529" s="7">
        <v>46230</v>
      </c>
      <c r="J529" s="5"/>
      <c r="L529" s="5" t="s">
        <v>2474</v>
      </c>
      <c r="N529" s="55"/>
    </row>
    <row r="530" spans="1:14" s="6" customFormat="1" hidden="1" x14ac:dyDescent="0.35">
      <c r="A530" s="5" t="s">
        <v>1968</v>
      </c>
      <c r="B530" s="5" t="s">
        <v>1969</v>
      </c>
      <c r="C530" s="5" t="s">
        <v>1970</v>
      </c>
      <c r="D530" s="5" t="s">
        <v>241</v>
      </c>
      <c r="E530" s="5" t="s">
        <v>241</v>
      </c>
      <c r="F530" s="5" t="s">
        <v>241</v>
      </c>
      <c r="G530" s="5" t="s">
        <v>282</v>
      </c>
      <c r="H530" s="5" t="s">
        <v>1971</v>
      </c>
      <c r="I530" s="7">
        <v>46230</v>
      </c>
      <c r="J530" s="5"/>
      <c r="L530" s="5" t="s">
        <v>2474</v>
      </c>
      <c r="N530" s="55"/>
    </row>
    <row r="531" spans="1:14" s="6" customFormat="1" hidden="1" x14ac:dyDescent="0.35">
      <c r="A531" s="5" t="s">
        <v>1972</v>
      </c>
      <c r="B531" s="5" t="s">
        <v>1973</v>
      </c>
      <c r="C531" s="5" t="s">
        <v>1974</v>
      </c>
      <c r="D531" s="5" t="s">
        <v>241</v>
      </c>
      <c r="E531" s="5" t="s">
        <v>241</v>
      </c>
      <c r="F531" s="5" t="s">
        <v>241</v>
      </c>
      <c r="G531" s="5" t="s">
        <v>702</v>
      </c>
      <c r="H531" s="5" t="s">
        <v>1592</v>
      </c>
      <c r="I531" s="7">
        <v>46233</v>
      </c>
      <c r="J531" s="5"/>
      <c r="L531" s="5" t="s">
        <v>2474</v>
      </c>
      <c r="N531" s="55"/>
    </row>
    <row r="532" spans="1:14" s="6" customFormat="1" hidden="1" x14ac:dyDescent="0.35">
      <c r="A532" s="5" t="s">
        <v>1975</v>
      </c>
      <c r="B532" s="5" t="s">
        <v>1976</v>
      </c>
      <c r="C532" s="5" t="s">
        <v>1977</v>
      </c>
      <c r="D532" s="5" t="s">
        <v>241</v>
      </c>
      <c r="E532" s="5" t="s">
        <v>241</v>
      </c>
      <c r="F532" s="5" t="s">
        <v>241</v>
      </c>
      <c r="G532" s="5" t="s">
        <v>702</v>
      </c>
      <c r="H532" s="5" t="s">
        <v>1592</v>
      </c>
      <c r="I532" s="7">
        <v>46233</v>
      </c>
      <c r="J532" s="5"/>
      <c r="L532" s="5" t="s">
        <v>2474</v>
      </c>
      <c r="N532" s="55"/>
    </row>
    <row r="533" spans="1:14" s="6" customFormat="1" hidden="1" x14ac:dyDescent="0.35">
      <c r="A533" s="5" t="s">
        <v>1978</v>
      </c>
      <c r="B533" s="5" t="s">
        <v>1979</v>
      </c>
      <c r="C533" s="5" t="s">
        <v>1980</v>
      </c>
      <c r="D533" s="5" t="s">
        <v>241</v>
      </c>
      <c r="E533" s="5" t="s">
        <v>241</v>
      </c>
      <c r="F533" s="5" t="s">
        <v>241</v>
      </c>
      <c r="G533" s="5" t="s">
        <v>702</v>
      </c>
      <c r="H533" s="5" t="s">
        <v>1592</v>
      </c>
      <c r="I533" s="7">
        <v>46233</v>
      </c>
      <c r="J533" s="5"/>
      <c r="L533" s="5" t="s">
        <v>2474</v>
      </c>
      <c r="N533" s="55"/>
    </row>
    <row r="534" spans="1:14" s="1" customFormat="1" hidden="1" x14ac:dyDescent="0.35">
      <c r="A534" s="5" t="s">
        <v>1984</v>
      </c>
      <c r="B534" s="5" t="s">
        <v>1985</v>
      </c>
      <c r="C534" s="5" t="s">
        <v>1986</v>
      </c>
      <c r="D534" s="5" t="s">
        <v>29</v>
      </c>
      <c r="E534" s="5" t="s">
        <v>395</v>
      </c>
      <c r="F534" s="2" t="s">
        <v>395</v>
      </c>
      <c r="G534" s="6"/>
      <c r="H534" s="5" t="s">
        <v>1484</v>
      </c>
      <c r="I534" s="7">
        <v>46239</v>
      </c>
      <c r="J534" s="6" t="s">
        <v>56</v>
      </c>
      <c r="K534" s="6" t="s">
        <v>33</v>
      </c>
      <c r="L534" s="25" t="s">
        <v>2475</v>
      </c>
      <c r="M534" s="25"/>
      <c r="N534" s="56"/>
    </row>
    <row r="535" spans="1:14" s="1" customFormat="1" hidden="1" x14ac:dyDescent="0.35">
      <c r="A535" s="5" t="s">
        <v>1987</v>
      </c>
      <c r="B535" s="5" t="s">
        <v>1988</v>
      </c>
      <c r="C535" s="5" t="s">
        <v>1989</v>
      </c>
      <c r="D535" s="5" t="s">
        <v>29</v>
      </c>
      <c r="E535" s="5" t="s">
        <v>395</v>
      </c>
      <c r="F535" s="2" t="s">
        <v>395</v>
      </c>
      <c r="G535" s="6"/>
      <c r="H535" s="5" t="s">
        <v>1484</v>
      </c>
      <c r="I535" s="7">
        <v>46239</v>
      </c>
      <c r="J535" s="6" t="s">
        <v>56</v>
      </c>
      <c r="K535" s="6" t="s">
        <v>33</v>
      </c>
      <c r="L535" s="25" t="s">
        <v>2475</v>
      </c>
      <c r="M535" s="25"/>
      <c r="N535" s="56"/>
    </row>
    <row r="536" spans="1:14" s="6" customFormat="1" hidden="1" x14ac:dyDescent="0.35">
      <c r="A536" s="5" t="s">
        <v>1990</v>
      </c>
      <c r="B536" s="5" t="s">
        <v>1991</v>
      </c>
      <c r="C536" s="5" t="s">
        <v>1992</v>
      </c>
      <c r="D536" s="5" t="s">
        <v>241</v>
      </c>
      <c r="E536" s="5" t="s">
        <v>241</v>
      </c>
      <c r="F536" s="5" t="s">
        <v>241</v>
      </c>
      <c r="G536" s="5" t="s">
        <v>138</v>
      </c>
      <c r="H536" s="5" t="s">
        <v>1872</v>
      </c>
      <c r="I536" s="7">
        <v>46233</v>
      </c>
      <c r="J536" s="5"/>
      <c r="L536" s="5" t="s">
        <v>2474</v>
      </c>
      <c r="N536" s="55"/>
    </row>
    <row r="537" spans="1:14" s="6" customFormat="1" hidden="1" x14ac:dyDescent="0.35">
      <c r="A537" s="5" t="s">
        <v>1993</v>
      </c>
      <c r="B537" s="5" t="s">
        <v>1994</v>
      </c>
      <c r="C537" s="5" t="s">
        <v>1995</v>
      </c>
      <c r="D537" s="5" t="s">
        <v>241</v>
      </c>
      <c r="E537" s="5" t="s">
        <v>241</v>
      </c>
      <c r="F537" s="5" t="s">
        <v>241</v>
      </c>
      <c r="G537" s="5" t="s">
        <v>63</v>
      </c>
      <c r="H537" s="5" t="s">
        <v>1633</v>
      </c>
      <c r="I537" s="7">
        <v>46237</v>
      </c>
      <c r="J537" s="5"/>
      <c r="L537" s="5" t="s">
        <v>2474</v>
      </c>
      <c r="N537" s="55"/>
    </row>
    <row r="538" spans="1:14" s="6" customFormat="1" hidden="1" x14ac:dyDescent="0.35">
      <c r="A538" s="5" t="s">
        <v>1996</v>
      </c>
      <c r="B538" s="5" t="s">
        <v>1997</v>
      </c>
      <c r="C538" s="5" t="s">
        <v>1998</v>
      </c>
      <c r="D538" s="5" t="s">
        <v>241</v>
      </c>
      <c r="E538" s="5" t="s">
        <v>241</v>
      </c>
      <c r="F538" s="5" t="s">
        <v>241</v>
      </c>
      <c r="G538" s="5" t="s">
        <v>63</v>
      </c>
      <c r="H538" s="5" t="s">
        <v>1500</v>
      </c>
      <c r="I538" s="7">
        <v>46237</v>
      </c>
      <c r="J538" s="5"/>
      <c r="L538" s="5" t="s">
        <v>2474</v>
      </c>
      <c r="N538" s="55"/>
    </row>
    <row r="539" spans="1:14" s="6" customFormat="1" hidden="1" x14ac:dyDescent="0.35">
      <c r="A539" s="5" t="s">
        <v>1999</v>
      </c>
      <c r="B539" s="5" t="s">
        <v>2000</v>
      </c>
      <c r="C539" s="5" t="s">
        <v>2001</v>
      </c>
      <c r="D539" s="5" t="s">
        <v>241</v>
      </c>
      <c r="E539" s="5" t="s">
        <v>241</v>
      </c>
      <c r="F539" s="5" t="s">
        <v>241</v>
      </c>
      <c r="G539" s="5" t="s">
        <v>702</v>
      </c>
      <c r="H539" s="5" t="s">
        <v>1592</v>
      </c>
      <c r="I539" s="7">
        <v>46237</v>
      </c>
      <c r="J539" s="5"/>
      <c r="L539" s="5" t="s">
        <v>2474</v>
      </c>
      <c r="N539" s="55"/>
    </row>
    <row r="540" spans="1:14" s="6" customFormat="1" hidden="1" x14ac:dyDescent="0.35">
      <c r="A540" s="5" t="s">
        <v>2002</v>
      </c>
      <c r="B540" s="5" t="s">
        <v>2003</v>
      </c>
      <c r="C540" s="5" t="s">
        <v>2004</v>
      </c>
      <c r="D540" s="5" t="s">
        <v>241</v>
      </c>
      <c r="E540" s="5" t="s">
        <v>241</v>
      </c>
      <c r="F540" s="5" t="s">
        <v>241</v>
      </c>
      <c r="G540" s="5" t="s">
        <v>702</v>
      </c>
      <c r="H540" s="5" t="s">
        <v>1592</v>
      </c>
      <c r="I540" s="7">
        <v>46237</v>
      </c>
      <c r="J540" s="5"/>
      <c r="L540" s="5" t="s">
        <v>2474</v>
      </c>
      <c r="N540" s="55"/>
    </row>
    <row r="541" spans="1:14" s="6" customFormat="1" hidden="1" x14ac:dyDescent="0.35">
      <c r="A541" s="5" t="s">
        <v>2005</v>
      </c>
      <c r="B541" s="5" t="s">
        <v>2006</v>
      </c>
      <c r="C541" s="5" t="s">
        <v>2007</v>
      </c>
      <c r="D541" s="5" t="s">
        <v>241</v>
      </c>
      <c r="E541" s="5" t="s">
        <v>241</v>
      </c>
      <c r="F541" s="5" t="s">
        <v>241</v>
      </c>
      <c r="G541" s="5" t="s">
        <v>702</v>
      </c>
      <c r="H541" s="5" t="s">
        <v>1592</v>
      </c>
      <c r="I541" s="7">
        <v>46237</v>
      </c>
      <c r="J541" s="5"/>
      <c r="L541" s="5" t="s">
        <v>2474</v>
      </c>
      <c r="N541" s="55"/>
    </row>
    <row r="542" spans="1:14" s="6" customFormat="1" hidden="1" x14ac:dyDescent="0.35">
      <c r="A542" s="5" t="s">
        <v>2008</v>
      </c>
      <c r="B542" s="5" t="s">
        <v>2009</v>
      </c>
      <c r="C542" s="5" t="s">
        <v>2010</v>
      </c>
      <c r="D542" s="5" t="s">
        <v>241</v>
      </c>
      <c r="E542" s="5" t="s">
        <v>241</v>
      </c>
      <c r="F542" s="5" t="s">
        <v>241</v>
      </c>
      <c r="G542" s="5" t="s">
        <v>702</v>
      </c>
      <c r="H542" s="5" t="s">
        <v>1592</v>
      </c>
      <c r="I542" s="7">
        <v>46237</v>
      </c>
      <c r="J542" s="5"/>
      <c r="L542" s="5" t="s">
        <v>2474</v>
      </c>
      <c r="N542" s="55"/>
    </row>
    <row r="543" spans="1:14" s="6" customFormat="1" hidden="1" x14ac:dyDescent="0.35">
      <c r="A543" s="5" t="s">
        <v>2011</v>
      </c>
      <c r="B543" s="5" t="s">
        <v>2012</v>
      </c>
      <c r="C543" s="5" t="s">
        <v>2013</v>
      </c>
      <c r="D543" s="5" t="s">
        <v>241</v>
      </c>
      <c r="E543" s="5" t="s">
        <v>241</v>
      </c>
      <c r="F543" s="5" t="s">
        <v>241</v>
      </c>
      <c r="G543" s="5" t="s">
        <v>702</v>
      </c>
      <c r="H543" s="5" t="s">
        <v>1592</v>
      </c>
      <c r="I543" s="7">
        <v>46237</v>
      </c>
      <c r="J543" s="5"/>
      <c r="L543" s="5" t="s">
        <v>2474</v>
      </c>
      <c r="N543" s="55"/>
    </row>
    <row r="544" spans="1:14" s="6" customFormat="1" hidden="1" x14ac:dyDescent="0.35">
      <c r="A544" s="5" t="s">
        <v>2014</v>
      </c>
      <c r="B544" s="5" t="s">
        <v>2015</v>
      </c>
      <c r="C544" s="5" t="s">
        <v>2016</v>
      </c>
      <c r="D544" s="5" t="s">
        <v>241</v>
      </c>
      <c r="E544" s="5" t="s">
        <v>241</v>
      </c>
      <c r="F544" s="5" t="s">
        <v>241</v>
      </c>
      <c r="G544" s="5" t="s">
        <v>702</v>
      </c>
      <c r="H544" s="5" t="s">
        <v>1592</v>
      </c>
      <c r="I544" s="7">
        <v>46237</v>
      </c>
      <c r="J544" s="5"/>
      <c r="L544" s="5" t="s">
        <v>2474</v>
      </c>
      <c r="N544" s="55"/>
    </row>
    <row r="545" spans="1:14" s="1" customFormat="1" hidden="1" x14ac:dyDescent="0.35">
      <c r="A545" s="5" t="s">
        <v>2017</v>
      </c>
      <c r="B545" s="5" t="s">
        <v>2018</v>
      </c>
      <c r="C545" s="5" t="s">
        <v>2019</v>
      </c>
      <c r="D545" s="5" t="s">
        <v>29</v>
      </c>
      <c r="E545" s="5" t="s">
        <v>395</v>
      </c>
      <c r="F545" s="2" t="s">
        <v>395</v>
      </c>
      <c r="G545" s="5"/>
      <c r="H545" s="5" t="s">
        <v>2020</v>
      </c>
      <c r="I545" s="7">
        <v>46239</v>
      </c>
      <c r="J545" s="6" t="s">
        <v>807</v>
      </c>
      <c r="K545" s="6" t="s">
        <v>33</v>
      </c>
      <c r="L545" s="5" t="s">
        <v>2472</v>
      </c>
      <c r="M545" s="25"/>
      <c r="N545" s="56"/>
    </row>
    <row r="546" spans="1:14" s="6" customFormat="1" hidden="1" x14ac:dyDescent="0.35">
      <c r="A546" s="5" t="s">
        <v>2025</v>
      </c>
      <c r="B546" s="5" t="s">
        <v>2026</v>
      </c>
      <c r="C546" s="5" t="s">
        <v>2027</v>
      </c>
      <c r="D546" s="5" t="s">
        <v>241</v>
      </c>
      <c r="E546" s="5" t="s">
        <v>241</v>
      </c>
      <c r="F546" s="5" t="s">
        <v>241</v>
      </c>
      <c r="G546" s="5" t="s">
        <v>702</v>
      </c>
      <c r="H546" s="5" t="s">
        <v>2028</v>
      </c>
      <c r="I546" s="7">
        <v>46239</v>
      </c>
      <c r="J546" s="5"/>
      <c r="L546" s="5" t="s">
        <v>2474</v>
      </c>
      <c r="N546" s="55"/>
    </row>
    <row r="547" spans="1:14" s="6" customFormat="1" hidden="1" x14ac:dyDescent="0.35">
      <c r="A547" s="5" t="s">
        <v>2029</v>
      </c>
      <c r="B547" s="5" t="s">
        <v>2030</v>
      </c>
      <c r="C547" s="5" t="s">
        <v>2031</v>
      </c>
      <c r="D547" s="5" t="s">
        <v>241</v>
      </c>
      <c r="E547" s="5" t="s">
        <v>241</v>
      </c>
      <c r="F547" s="5" t="s">
        <v>241</v>
      </c>
      <c r="G547" s="5" t="s">
        <v>702</v>
      </c>
      <c r="H547" s="5" t="s">
        <v>2028</v>
      </c>
      <c r="I547" s="7">
        <v>46239</v>
      </c>
      <c r="J547" s="5"/>
      <c r="L547" s="5" t="s">
        <v>2474</v>
      </c>
      <c r="N547" s="55"/>
    </row>
    <row r="548" spans="1:14" s="6" customFormat="1" hidden="1" x14ac:dyDescent="0.35">
      <c r="A548" s="5" t="s">
        <v>2032</v>
      </c>
      <c r="B548" s="5" t="s">
        <v>2033</v>
      </c>
      <c r="C548" s="5" t="s">
        <v>2034</v>
      </c>
      <c r="D548" s="5" t="s">
        <v>241</v>
      </c>
      <c r="E548" s="5" t="s">
        <v>241</v>
      </c>
      <c r="F548" s="5" t="s">
        <v>241</v>
      </c>
      <c r="G548" s="5" t="s">
        <v>702</v>
      </c>
      <c r="H548" s="5" t="s">
        <v>2028</v>
      </c>
      <c r="I548" s="7">
        <v>46239</v>
      </c>
      <c r="J548" s="5"/>
      <c r="L548" s="5" t="s">
        <v>2474</v>
      </c>
      <c r="N548" s="55"/>
    </row>
    <row r="549" spans="1:14" s="6" customFormat="1" hidden="1" x14ac:dyDescent="0.35">
      <c r="A549" s="5" t="s">
        <v>2035</v>
      </c>
      <c r="B549" s="5" t="s">
        <v>2036</v>
      </c>
      <c r="C549" s="5" t="s">
        <v>2037</v>
      </c>
      <c r="D549" s="5" t="s">
        <v>241</v>
      </c>
      <c r="E549" s="5" t="s">
        <v>241</v>
      </c>
      <c r="F549" s="5" t="s">
        <v>241</v>
      </c>
      <c r="G549" s="5" t="s">
        <v>282</v>
      </c>
      <c r="H549" s="5" t="s">
        <v>1560</v>
      </c>
      <c r="I549" s="7">
        <v>46237</v>
      </c>
      <c r="J549" s="5"/>
      <c r="L549" s="5" t="s">
        <v>2474</v>
      </c>
      <c r="N549" s="55"/>
    </row>
    <row r="550" spans="1:14" s="6" customFormat="1" hidden="1" x14ac:dyDescent="0.35">
      <c r="A550" s="5" t="s">
        <v>2038</v>
      </c>
      <c r="B550" s="5" t="s">
        <v>2039</v>
      </c>
      <c r="C550" s="5" t="s">
        <v>2040</v>
      </c>
      <c r="D550" s="5" t="s">
        <v>241</v>
      </c>
      <c r="E550" s="5" t="s">
        <v>241</v>
      </c>
      <c r="F550" s="5" t="s">
        <v>241</v>
      </c>
      <c r="G550" s="5" t="s">
        <v>282</v>
      </c>
      <c r="H550" s="5" t="s">
        <v>1560</v>
      </c>
      <c r="I550" s="7">
        <v>46237</v>
      </c>
      <c r="J550" s="5"/>
      <c r="L550" s="5" t="s">
        <v>2474</v>
      </c>
      <c r="N550" s="55"/>
    </row>
    <row r="551" spans="1:14" s="6" customFormat="1" hidden="1" x14ac:dyDescent="0.35">
      <c r="A551" s="5" t="s">
        <v>2041</v>
      </c>
      <c r="B551" s="5" t="s">
        <v>2042</v>
      </c>
      <c r="C551" s="5" t="s">
        <v>2043</v>
      </c>
      <c r="D551" s="5" t="s">
        <v>241</v>
      </c>
      <c r="E551" s="5" t="s">
        <v>241</v>
      </c>
      <c r="F551" s="5" t="s">
        <v>241</v>
      </c>
      <c r="G551" s="5" t="s">
        <v>282</v>
      </c>
      <c r="H551" s="5" t="s">
        <v>1560</v>
      </c>
      <c r="I551" s="7">
        <v>46237</v>
      </c>
      <c r="J551" s="5"/>
      <c r="L551" s="5" t="s">
        <v>2474</v>
      </c>
      <c r="N551" s="55"/>
    </row>
    <row r="552" spans="1:14" s="6" customFormat="1" hidden="1" x14ac:dyDescent="0.35">
      <c r="A552" s="5" t="s">
        <v>2044</v>
      </c>
      <c r="B552" s="5" t="s">
        <v>2045</v>
      </c>
      <c r="C552" s="5" t="s">
        <v>2046</v>
      </c>
      <c r="D552" s="5" t="s">
        <v>241</v>
      </c>
      <c r="E552" s="5" t="s">
        <v>241</v>
      </c>
      <c r="F552" s="5" t="s">
        <v>241</v>
      </c>
      <c r="G552" s="5" t="s">
        <v>282</v>
      </c>
      <c r="H552" s="5" t="s">
        <v>1560</v>
      </c>
      <c r="I552" s="7">
        <v>46237</v>
      </c>
      <c r="J552" s="5"/>
      <c r="L552" s="5" t="s">
        <v>2474</v>
      </c>
      <c r="N552" s="55"/>
    </row>
    <row r="553" spans="1:14" s="6" customFormat="1" hidden="1" x14ac:dyDescent="0.35">
      <c r="A553" s="5" t="s">
        <v>2047</v>
      </c>
      <c r="B553" s="5" t="s">
        <v>2048</v>
      </c>
      <c r="C553" s="5" t="s">
        <v>2049</v>
      </c>
      <c r="D553" s="5" t="s">
        <v>241</v>
      </c>
      <c r="E553" s="5" t="s">
        <v>241</v>
      </c>
      <c r="F553" s="5" t="s">
        <v>241</v>
      </c>
      <c r="G553" s="5" t="s">
        <v>282</v>
      </c>
      <c r="H553" s="5" t="s">
        <v>1560</v>
      </c>
      <c r="I553" s="7">
        <v>46251</v>
      </c>
      <c r="J553" s="5"/>
      <c r="L553" s="5" t="s">
        <v>2474</v>
      </c>
      <c r="N553" s="55"/>
    </row>
    <row r="554" spans="1:14" s="6" customFormat="1" hidden="1" x14ac:dyDescent="0.35">
      <c r="A554" s="5" t="s">
        <v>2050</v>
      </c>
      <c r="B554" s="5" t="s">
        <v>2051</v>
      </c>
      <c r="C554" s="5" t="s">
        <v>2052</v>
      </c>
      <c r="D554" s="5" t="s">
        <v>241</v>
      </c>
      <c r="E554" s="5" t="s">
        <v>241</v>
      </c>
      <c r="F554" s="5" t="s">
        <v>241</v>
      </c>
      <c r="G554" s="5" t="s">
        <v>282</v>
      </c>
      <c r="H554" s="5" t="s">
        <v>1560</v>
      </c>
      <c r="I554" s="7">
        <v>46237</v>
      </c>
      <c r="J554" s="5"/>
      <c r="L554" s="5" t="s">
        <v>2474</v>
      </c>
      <c r="N554" s="55"/>
    </row>
    <row r="555" spans="1:14" s="1" customFormat="1" hidden="1" x14ac:dyDescent="0.35">
      <c r="A555" s="5" t="s">
        <v>2053</v>
      </c>
      <c r="B555" s="5" t="s">
        <v>2054</v>
      </c>
      <c r="C555" s="5" t="s">
        <v>2055</v>
      </c>
      <c r="D555" s="5" t="s">
        <v>29</v>
      </c>
      <c r="E555" s="5" t="s">
        <v>395</v>
      </c>
      <c r="F555" s="2" t="s">
        <v>395</v>
      </c>
      <c r="G555" s="5"/>
      <c r="H555" s="5" t="s">
        <v>1172</v>
      </c>
      <c r="I555" s="7">
        <v>46245</v>
      </c>
      <c r="J555" s="6" t="s">
        <v>1171</v>
      </c>
      <c r="K555" s="6" t="s">
        <v>33</v>
      </c>
      <c r="L555" s="5" t="s">
        <v>2472</v>
      </c>
      <c r="M555" s="25"/>
      <c r="N555" s="56"/>
    </row>
    <row r="556" spans="1:14" s="1" customFormat="1" hidden="1" x14ac:dyDescent="0.35">
      <c r="A556" s="5" t="s">
        <v>2056</v>
      </c>
      <c r="B556" s="2" t="s">
        <v>2057</v>
      </c>
      <c r="C556" s="2" t="s">
        <v>2058</v>
      </c>
      <c r="D556" s="2" t="s">
        <v>50</v>
      </c>
      <c r="E556" s="26" t="s">
        <v>2476</v>
      </c>
      <c r="F556" s="2" t="s">
        <v>3605</v>
      </c>
      <c r="G556" s="2"/>
      <c r="H556" s="2" t="s">
        <v>230</v>
      </c>
      <c r="I556" s="24">
        <v>46244</v>
      </c>
      <c r="J556" s="2"/>
      <c r="K556" s="25"/>
      <c r="L556" s="2" t="s">
        <v>2473</v>
      </c>
      <c r="M556" s="25"/>
      <c r="N556" s="56"/>
    </row>
    <row r="557" spans="1:14" s="6" customFormat="1" hidden="1" x14ac:dyDescent="0.35">
      <c r="A557" s="5" t="s">
        <v>2059</v>
      </c>
      <c r="B557" s="5" t="s">
        <v>2060</v>
      </c>
      <c r="C557" s="5" t="s">
        <v>2061</v>
      </c>
      <c r="D557" s="5" t="s">
        <v>241</v>
      </c>
      <c r="E557" s="5" t="s">
        <v>241</v>
      </c>
      <c r="F557" s="5" t="s">
        <v>241</v>
      </c>
      <c r="G557" s="5" t="s">
        <v>63</v>
      </c>
      <c r="H557" s="5" t="s">
        <v>2062</v>
      </c>
      <c r="I557" s="7">
        <v>46244</v>
      </c>
      <c r="J557" s="5"/>
      <c r="L557" s="5" t="s">
        <v>2474</v>
      </c>
      <c r="N557" s="55"/>
    </row>
    <row r="558" spans="1:14" s="6" customFormat="1" hidden="1" x14ac:dyDescent="0.35">
      <c r="A558" s="5" t="s">
        <v>2063</v>
      </c>
      <c r="B558" s="5" t="s">
        <v>2064</v>
      </c>
      <c r="C558" s="5" t="s">
        <v>2065</v>
      </c>
      <c r="D558" s="5" t="s">
        <v>241</v>
      </c>
      <c r="E558" s="5" t="s">
        <v>241</v>
      </c>
      <c r="F558" s="5" t="s">
        <v>241</v>
      </c>
      <c r="G558" s="5" t="s">
        <v>63</v>
      </c>
      <c r="H558" s="5" t="s">
        <v>2066</v>
      </c>
      <c r="I558" s="7">
        <v>46244</v>
      </c>
      <c r="J558" s="5"/>
      <c r="L558" s="5" t="s">
        <v>2474</v>
      </c>
      <c r="N558" s="55"/>
    </row>
    <row r="559" spans="1:14" s="6" customFormat="1" hidden="1" x14ac:dyDescent="0.35">
      <c r="A559" s="5" t="s">
        <v>2067</v>
      </c>
      <c r="B559" s="5" t="s">
        <v>2068</v>
      </c>
      <c r="C559" s="5" t="s">
        <v>2069</v>
      </c>
      <c r="D559" s="5" t="s">
        <v>241</v>
      </c>
      <c r="E559" s="5" t="s">
        <v>241</v>
      </c>
      <c r="F559" s="5" t="s">
        <v>241</v>
      </c>
      <c r="G559" s="5" t="s">
        <v>63</v>
      </c>
      <c r="H559" s="5" t="s">
        <v>1747</v>
      </c>
      <c r="I559" s="7">
        <v>46244</v>
      </c>
      <c r="J559" s="5"/>
      <c r="L559" s="5" t="s">
        <v>2474</v>
      </c>
      <c r="N559" s="55"/>
    </row>
    <row r="560" spans="1:14" s="6" customFormat="1" hidden="1" x14ac:dyDescent="0.35">
      <c r="A560" s="5" t="s">
        <v>2070</v>
      </c>
      <c r="B560" s="5" t="s">
        <v>2071</v>
      </c>
      <c r="C560" s="5" t="s">
        <v>2072</v>
      </c>
      <c r="D560" s="5" t="s">
        <v>241</v>
      </c>
      <c r="E560" s="5" t="s">
        <v>241</v>
      </c>
      <c r="F560" s="5" t="s">
        <v>241</v>
      </c>
      <c r="G560" s="5" t="s">
        <v>702</v>
      </c>
      <c r="H560" s="5" t="s">
        <v>1439</v>
      </c>
      <c r="I560" s="7">
        <v>46244</v>
      </c>
      <c r="J560" s="5"/>
      <c r="L560" s="5" t="s">
        <v>2474</v>
      </c>
      <c r="N560" s="55"/>
    </row>
    <row r="561" spans="1:14" s="6" customFormat="1" hidden="1" x14ac:dyDescent="0.35">
      <c r="A561" s="5" t="s">
        <v>2073</v>
      </c>
      <c r="B561" s="5" t="s">
        <v>2074</v>
      </c>
      <c r="C561" s="5" t="s">
        <v>2075</v>
      </c>
      <c r="D561" s="5" t="s">
        <v>241</v>
      </c>
      <c r="E561" s="5" t="s">
        <v>241</v>
      </c>
      <c r="F561" s="5" t="s">
        <v>241</v>
      </c>
      <c r="G561" s="5" t="s">
        <v>702</v>
      </c>
      <c r="H561" s="5" t="s">
        <v>1592</v>
      </c>
      <c r="I561" s="7">
        <v>46244</v>
      </c>
      <c r="J561" s="5"/>
      <c r="L561" s="5" t="s">
        <v>2474</v>
      </c>
      <c r="N561" s="55"/>
    </row>
    <row r="562" spans="1:14" s="1" customFormat="1" hidden="1" x14ac:dyDescent="0.35">
      <c r="A562" s="5" t="s">
        <v>2076</v>
      </c>
      <c r="B562" s="5" t="s">
        <v>2077</v>
      </c>
      <c r="C562" s="5" t="s">
        <v>2078</v>
      </c>
      <c r="D562" s="5" t="s">
        <v>29</v>
      </c>
      <c r="E562" s="5" t="s">
        <v>395</v>
      </c>
      <c r="F562" s="2" t="s">
        <v>395</v>
      </c>
      <c r="G562" s="5"/>
      <c r="H562" s="5" t="s">
        <v>1405</v>
      </c>
      <c r="I562" s="7">
        <v>46246</v>
      </c>
      <c r="J562" s="6" t="s">
        <v>282</v>
      </c>
      <c r="K562" s="6" t="s">
        <v>33</v>
      </c>
      <c r="L562" s="5" t="s">
        <v>2472</v>
      </c>
      <c r="M562" s="25"/>
      <c r="N562" s="56"/>
    </row>
    <row r="563" spans="1:14" s="1" customFormat="1" hidden="1" x14ac:dyDescent="0.35">
      <c r="A563" s="5" t="s">
        <v>2079</v>
      </c>
      <c r="B563" s="5" t="s">
        <v>2080</v>
      </c>
      <c r="C563" s="5" t="s">
        <v>2081</v>
      </c>
      <c r="D563" s="5" t="s">
        <v>29</v>
      </c>
      <c r="E563" s="5" t="s">
        <v>395</v>
      </c>
      <c r="F563" s="2" t="s">
        <v>395</v>
      </c>
      <c r="G563" s="6"/>
      <c r="H563" s="5" t="s">
        <v>2082</v>
      </c>
      <c r="I563" s="7">
        <v>46246</v>
      </c>
      <c r="J563" s="6" t="s">
        <v>56</v>
      </c>
      <c r="K563" s="6" t="s">
        <v>18</v>
      </c>
      <c r="L563" s="25" t="s">
        <v>2473</v>
      </c>
      <c r="M563" s="25"/>
      <c r="N563" s="56"/>
    </row>
    <row r="564" spans="1:14" s="1" customFormat="1" hidden="1" x14ac:dyDescent="0.35">
      <c r="A564" s="5" t="s">
        <v>2083</v>
      </c>
      <c r="B564" s="5" t="s">
        <v>2084</v>
      </c>
      <c r="C564" s="5" t="s">
        <v>2085</v>
      </c>
      <c r="D564" s="5" t="s">
        <v>29</v>
      </c>
      <c r="E564" s="5" t="s">
        <v>395</v>
      </c>
      <c r="F564" s="2" t="s">
        <v>395</v>
      </c>
      <c r="G564" s="6"/>
      <c r="H564" s="5" t="s">
        <v>2082</v>
      </c>
      <c r="I564" s="7">
        <v>46246</v>
      </c>
      <c r="J564" s="6" t="s">
        <v>56</v>
      </c>
      <c r="K564" s="6" t="s">
        <v>18</v>
      </c>
      <c r="L564" s="25" t="s">
        <v>2473</v>
      </c>
      <c r="M564" s="25"/>
      <c r="N564" s="56"/>
    </row>
    <row r="565" spans="1:14" s="1" customFormat="1" hidden="1" x14ac:dyDescent="0.35">
      <c r="A565" s="5" t="s">
        <v>2086</v>
      </c>
      <c r="B565" s="5" t="s">
        <v>2087</v>
      </c>
      <c r="C565" s="5" t="s">
        <v>2088</v>
      </c>
      <c r="D565" s="5" t="s">
        <v>29</v>
      </c>
      <c r="E565" s="5" t="s">
        <v>395</v>
      </c>
      <c r="F565" s="2" t="s">
        <v>395</v>
      </c>
      <c r="G565" s="5"/>
      <c r="H565" s="5" t="s">
        <v>2089</v>
      </c>
      <c r="I565" s="7">
        <v>46253</v>
      </c>
      <c r="J565" s="6" t="s">
        <v>807</v>
      </c>
      <c r="K565" s="6" t="s">
        <v>33</v>
      </c>
      <c r="L565" s="5" t="s">
        <v>2472</v>
      </c>
      <c r="M565" s="25"/>
      <c r="N565" s="56"/>
    </row>
    <row r="566" spans="1:14" s="1" customFormat="1" hidden="1" x14ac:dyDescent="0.35">
      <c r="A566" s="5" t="s">
        <v>2090</v>
      </c>
      <c r="B566" s="2" t="s">
        <v>2091</v>
      </c>
      <c r="C566" s="2" t="s">
        <v>2092</v>
      </c>
      <c r="D566" s="2" t="s">
        <v>50</v>
      </c>
      <c r="E566" s="26" t="s">
        <v>2476</v>
      </c>
      <c r="F566" s="2" t="s">
        <v>3605</v>
      </c>
      <c r="G566" s="2"/>
      <c r="H566" s="2" t="s">
        <v>370</v>
      </c>
      <c r="I566" s="24">
        <v>46251</v>
      </c>
      <c r="J566" s="2"/>
      <c r="K566" s="25"/>
      <c r="L566" s="2" t="s">
        <v>2473</v>
      </c>
      <c r="M566" s="25"/>
      <c r="N566" s="56"/>
    </row>
    <row r="567" spans="1:14" s="1" customFormat="1" hidden="1" x14ac:dyDescent="0.35">
      <c r="A567" s="5" t="s">
        <v>2093</v>
      </c>
      <c r="B567" s="5" t="s">
        <v>2094</v>
      </c>
      <c r="C567" s="5" t="s">
        <v>2095</v>
      </c>
      <c r="D567" s="5" t="s">
        <v>29</v>
      </c>
      <c r="E567" s="5" t="s">
        <v>395</v>
      </c>
      <c r="F567" s="2" t="s">
        <v>395</v>
      </c>
      <c r="G567" s="5"/>
      <c r="H567" s="5" t="s">
        <v>187</v>
      </c>
      <c r="I567" s="7">
        <v>46254</v>
      </c>
      <c r="J567" s="6" t="s">
        <v>807</v>
      </c>
      <c r="K567" s="6" t="s">
        <v>33</v>
      </c>
      <c r="L567" s="5" t="s">
        <v>2472</v>
      </c>
      <c r="M567" s="25"/>
      <c r="N567" s="56"/>
    </row>
    <row r="568" spans="1:14" s="6" customFormat="1" hidden="1" x14ac:dyDescent="0.35">
      <c r="A568" s="5" t="s">
        <v>2096</v>
      </c>
      <c r="B568" s="5" t="s">
        <v>2097</v>
      </c>
      <c r="C568" s="5" t="s">
        <v>2098</v>
      </c>
      <c r="D568" s="5" t="s">
        <v>241</v>
      </c>
      <c r="E568" s="5" t="s">
        <v>241</v>
      </c>
      <c r="F568" s="5" t="s">
        <v>241</v>
      </c>
      <c r="G568" s="5" t="s">
        <v>702</v>
      </c>
      <c r="H568" s="5" t="s">
        <v>1592</v>
      </c>
      <c r="I568" s="7">
        <v>46251</v>
      </c>
      <c r="J568" s="5"/>
      <c r="L568" s="5" t="s">
        <v>2474</v>
      </c>
      <c r="N568" s="55"/>
    </row>
    <row r="569" spans="1:14" s="6" customFormat="1" hidden="1" x14ac:dyDescent="0.35">
      <c r="A569" s="5" t="s">
        <v>2099</v>
      </c>
      <c r="B569" s="5" t="s">
        <v>2100</v>
      </c>
      <c r="C569" s="5" t="s">
        <v>2101</v>
      </c>
      <c r="D569" s="5" t="s">
        <v>241</v>
      </c>
      <c r="E569" s="5" t="s">
        <v>241</v>
      </c>
      <c r="F569" s="5" t="s">
        <v>241</v>
      </c>
      <c r="G569" s="5" t="s">
        <v>39</v>
      </c>
      <c r="H569" s="5" t="s">
        <v>2102</v>
      </c>
      <c r="I569" s="7">
        <v>46252</v>
      </c>
      <c r="J569" s="5"/>
      <c r="L569" s="5" t="s">
        <v>2474</v>
      </c>
      <c r="N569" s="55"/>
    </row>
    <row r="570" spans="1:14" s="1" customFormat="1" hidden="1" x14ac:dyDescent="0.35">
      <c r="A570" s="5" t="s">
        <v>2103</v>
      </c>
      <c r="B570" s="5" t="s">
        <v>2104</v>
      </c>
      <c r="C570" s="5" t="s">
        <v>2105</v>
      </c>
      <c r="D570" s="5" t="s">
        <v>29</v>
      </c>
      <c r="E570" s="5" t="s">
        <v>395</v>
      </c>
      <c r="F570" s="2" t="s">
        <v>395</v>
      </c>
      <c r="G570" s="5"/>
      <c r="H570" s="5" t="s">
        <v>2106</v>
      </c>
      <c r="I570" s="7">
        <v>46258</v>
      </c>
      <c r="J570" s="31" t="s">
        <v>3640</v>
      </c>
      <c r="K570" s="6" t="s">
        <v>18</v>
      </c>
      <c r="L570" s="5" t="s">
        <v>2472</v>
      </c>
      <c r="M570" s="25"/>
      <c r="N570" s="56"/>
    </row>
    <row r="571" spans="1:14" s="1" customFormat="1" hidden="1" x14ac:dyDescent="0.35">
      <c r="A571" s="5" t="s">
        <v>2107</v>
      </c>
      <c r="B571" s="5" t="s">
        <v>2108</v>
      </c>
      <c r="C571" s="5" t="s">
        <v>2109</v>
      </c>
      <c r="D571" s="5" t="s">
        <v>29</v>
      </c>
      <c r="E571" s="5" t="s">
        <v>395</v>
      </c>
      <c r="F571" s="2" t="s">
        <v>395</v>
      </c>
      <c r="G571" s="5"/>
      <c r="H571" s="5" t="s">
        <v>1210</v>
      </c>
      <c r="I571" s="7">
        <v>46260</v>
      </c>
      <c r="J571" s="6" t="s">
        <v>807</v>
      </c>
      <c r="K571" s="6" t="s">
        <v>33</v>
      </c>
      <c r="L571" s="5" t="s">
        <v>2472</v>
      </c>
      <c r="M571" s="25"/>
      <c r="N571" s="56"/>
    </row>
    <row r="572" spans="1:14" s="1" customFormat="1" hidden="1" x14ac:dyDescent="0.35">
      <c r="A572" s="5" t="s">
        <v>2110</v>
      </c>
      <c r="B572" s="2" t="s">
        <v>2111</v>
      </c>
      <c r="C572" s="2" t="s">
        <v>2112</v>
      </c>
      <c r="D572" s="2" t="s">
        <v>20</v>
      </c>
      <c r="E572" s="2" t="s">
        <v>20</v>
      </c>
      <c r="F572" s="2" t="s">
        <v>20</v>
      </c>
      <c r="G572" s="2" t="s">
        <v>165</v>
      </c>
      <c r="H572" s="2" t="s">
        <v>175</v>
      </c>
      <c r="I572" s="24">
        <v>46258</v>
      </c>
      <c r="J572" s="2"/>
      <c r="K572" s="25"/>
      <c r="L572" s="2" t="s">
        <v>2473</v>
      </c>
      <c r="M572" s="25"/>
      <c r="N572" s="56"/>
    </row>
    <row r="573" spans="1:14" s="6" customFormat="1" hidden="1" x14ac:dyDescent="0.35">
      <c r="A573" s="5" t="s">
        <v>2113</v>
      </c>
      <c r="B573" s="5" t="s">
        <v>2114</v>
      </c>
      <c r="C573" s="5" t="s">
        <v>2115</v>
      </c>
      <c r="D573" s="5" t="s">
        <v>241</v>
      </c>
      <c r="E573" s="5" t="s">
        <v>241</v>
      </c>
      <c r="F573" s="5" t="s">
        <v>241</v>
      </c>
      <c r="G573" s="5" t="s">
        <v>282</v>
      </c>
      <c r="H573" s="5" t="s">
        <v>2116</v>
      </c>
      <c r="I573" s="7">
        <v>46254</v>
      </c>
      <c r="J573" s="5"/>
      <c r="L573" s="5" t="s">
        <v>2474</v>
      </c>
      <c r="N573" s="55"/>
    </row>
    <row r="574" spans="1:14" s="1" customFormat="1" hidden="1" x14ac:dyDescent="0.35">
      <c r="A574" s="5" t="s">
        <v>2117</v>
      </c>
      <c r="B574" s="2" t="s">
        <v>2118</v>
      </c>
      <c r="C574" s="2" t="s">
        <v>2119</v>
      </c>
      <c r="D574" s="2" t="s">
        <v>50</v>
      </c>
      <c r="E574" s="26" t="s">
        <v>2476</v>
      </c>
      <c r="F574" s="2" t="s">
        <v>3605</v>
      </c>
      <c r="G574" s="2"/>
      <c r="H574" s="2" t="s">
        <v>230</v>
      </c>
      <c r="I574" s="24">
        <v>46258</v>
      </c>
      <c r="J574" s="2"/>
      <c r="K574" s="25"/>
      <c r="L574" s="2" t="s">
        <v>2473</v>
      </c>
      <c r="M574" s="25"/>
      <c r="N574" s="56"/>
    </row>
    <row r="575" spans="1:14" s="6" customFormat="1" hidden="1" x14ac:dyDescent="0.35">
      <c r="A575" s="5" t="s">
        <v>2120</v>
      </c>
      <c r="B575" s="5" t="s">
        <v>2121</v>
      </c>
      <c r="C575" s="5" t="s">
        <v>2122</v>
      </c>
      <c r="D575" s="5" t="s">
        <v>241</v>
      </c>
      <c r="E575" s="5" t="s">
        <v>241</v>
      </c>
      <c r="F575" s="5" t="s">
        <v>241</v>
      </c>
      <c r="G575" s="5" t="s">
        <v>702</v>
      </c>
      <c r="H575" s="5" t="s">
        <v>2123</v>
      </c>
      <c r="I575" s="7">
        <v>46258</v>
      </c>
      <c r="J575" s="5"/>
      <c r="L575" s="5" t="s">
        <v>2474</v>
      </c>
      <c r="N575" s="55"/>
    </row>
    <row r="576" spans="1:14" s="6" customFormat="1" hidden="1" x14ac:dyDescent="0.35">
      <c r="A576" s="5" t="s">
        <v>2124</v>
      </c>
      <c r="B576" s="5" t="s">
        <v>2125</v>
      </c>
      <c r="C576" s="5" t="s">
        <v>2126</v>
      </c>
      <c r="D576" s="5" t="s">
        <v>241</v>
      </c>
      <c r="E576" s="5" t="s">
        <v>241</v>
      </c>
      <c r="F576" s="5" t="s">
        <v>241</v>
      </c>
      <c r="G576" s="5" t="s">
        <v>702</v>
      </c>
      <c r="H576" s="5" t="s">
        <v>1439</v>
      </c>
      <c r="I576" s="7">
        <v>46258</v>
      </c>
      <c r="J576" s="5"/>
      <c r="L576" s="5" t="s">
        <v>2474</v>
      </c>
      <c r="N576" s="55"/>
    </row>
    <row r="577" spans="1:14" s="6" customFormat="1" hidden="1" x14ac:dyDescent="0.35">
      <c r="A577" s="5" t="s">
        <v>2127</v>
      </c>
      <c r="B577" s="5" t="s">
        <v>2128</v>
      </c>
      <c r="C577" s="5" t="s">
        <v>2129</v>
      </c>
      <c r="D577" s="5" t="s">
        <v>241</v>
      </c>
      <c r="E577" s="5" t="s">
        <v>241</v>
      </c>
      <c r="F577" s="5" t="s">
        <v>241</v>
      </c>
      <c r="G577" s="5" t="s">
        <v>39</v>
      </c>
      <c r="H577" s="5" t="s">
        <v>884</v>
      </c>
      <c r="I577" s="7">
        <v>46255</v>
      </c>
      <c r="J577" s="5"/>
      <c r="L577" s="5" t="s">
        <v>2474</v>
      </c>
      <c r="N577" s="55"/>
    </row>
    <row r="578" spans="1:14" s="6" customFormat="1" hidden="1" x14ac:dyDescent="0.35">
      <c r="A578" s="5" t="s">
        <v>2130</v>
      </c>
      <c r="B578" s="5" t="s">
        <v>2131</v>
      </c>
      <c r="C578" s="5" t="s">
        <v>2132</v>
      </c>
      <c r="D578" s="5" t="s">
        <v>241</v>
      </c>
      <c r="E578" s="5" t="s">
        <v>241</v>
      </c>
      <c r="F578" s="5" t="s">
        <v>241</v>
      </c>
      <c r="G578" s="5" t="s">
        <v>282</v>
      </c>
      <c r="H578" s="5" t="s">
        <v>2133</v>
      </c>
      <c r="I578" s="7">
        <v>46258</v>
      </c>
      <c r="J578" s="5"/>
      <c r="L578" s="5" t="s">
        <v>2474</v>
      </c>
      <c r="N578" s="55"/>
    </row>
    <row r="579" spans="1:14" s="6" customFormat="1" hidden="1" x14ac:dyDescent="0.35">
      <c r="A579" s="5" t="s">
        <v>2134</v>
      </c>
      <c r="B579" s="5" t="s">
        <v>2135</v>
      </c>
      <c r="C579" s="5" t="s">
        <v>2136</v>
      </c>
      <c r="D579" s="5" t="s">
        <v>241</v>
      </c>
      <c r="E579" s="5" t="s">
        <v>241</v>
      </c>
      <c r="F579" s="5" t="s">
        <v>241</v>
      </c>
      <c r="G579" s="5" t="s">
        <v>138</v>
      </c>
      <c r="H579" s="5" t="s">
        <v>2137</v>
      </c>
      <c r="I579" s="7">
        <v>46258</v>
      </c>
      <c r="J579" s="5"/>
      <c r="L579" s="5" t="s">
        <v>2474</v>
      </c>
      <c r="N579" s="55"/>
    </row>
    <row r="580" spans="1:14" s="1" customFormat="1" hidden="1" x14ac:dyDescent="0.35">
      <c r="A580" s="5" t="s">
        <v>2138</v>
      </c>
      <c r="B580" s="5" t="s">
        <v>2139</v>
      </c>
      <c r="C580" s="5" t="s">
        <v>2140</v>
      </c>
      <c r="D580" s="5" t="s">
        <v>29</v>
      </c>
      <c r="E580" s="5" t="s">
        <v>395</v>
      </c>
      <c r="F580" s="2" t="s">
        <v>395</v>
      </c>
      <c r="G580" s="5"/>
      <c r="H580" s="5" t="s">
        <v>410</v>
      </c>
      <c r="I580" s="7">
        <v>46265</v>
      </c>
      <c r="J580" s="6" t="s">
        <v>1352</v>
      </c>
      <c r="K580" s="6" t="s">
        <v>33</v>
      </c>
      <c r="L580" s="5" t="s">
        <v>2472</v>
      </c>
      <c r="M580" s="25"/>
      <c r="N580" s="56"/>
    </row>
    <row r="581" spans="1:14" s="6" customFormat="1" hidden="1" x14ac:dyDescent="0.35">
      <c r="A581" s="5" t="s">
        <v>2144</v>
      </c>
      <c r="B581" s="5" t="s">
        <v>2145</v>
      </c>
      <c r="C581" s="5" t="s">
        <v>2146</v>
      </c>
      <c r="D581" s="5" t="s">
        <v>241</v>
      </c>
      <c r="E581" s="5" t="s">
        <v>241</v>
      </c>
      <c r="F581" s="5" t="s">
        <v>241</v>
      </c>
      <c r="G581" s="5" t="s">
        <v>702</v>
      </c>
      <c r="H581" s="5" t="s">
        <v>1592</v>
      </c>
      <c r="I581" s="7">
        <v>46265</v>
      </c>
      <c r="J581" s="5"/>
      <c r="L581" s="5" t="s">
        <v>2474</v>
      </c>
      <c r="N581" s="55"/>
    </row>
    <row r="582" spans="1:14" s="6" customFormat="1" hidden="1" x14ac:dyDescent="0.35">
      <c r="A582" s="5" t="s">
        <v>2147</v>
      </c>
      <c r="B582" s="5" t="s">
        <v>2148</v>
      </c>
      <c r="C582" s="5" t="s">
        <v>2149</v>
      </c>
      <c r="D582" s="5" t="s">
        <v>241</v>
      </c>
      <c r="E582" s="5" t="s">
        <v>241</v>
      </c>
      <c r="F582" s="5" t="s">
        <v>241</v>
      </c>
      <c r="G582" s="5" t="s">
        <v>702</v>
      </c>
      <c r="H582" s="5" t="s">
        <v>1592</v>
      </c>
      <c r="I582" s="7">
        <v>46265</v>
      </c>
      <c r="J582" s="5"/>
      <c r="L582" s="5" t="s">
        <v>2474</v>
      </c>
      <c r="N582" s="55"/>
    </row>
    <row r="583" spans="1:14" s="6" customFormat="1" hidden="1" x14ac:dyDescent="0.35">
      <c r="A583" s="5" t="s">
        <v>2150</v>
      </c>
      <c r="B583" s="5" t="s">
        <v>2151</v>
      </c>
      <c r="C583" s="5" t="s">
        <v>2152</v>
      </c>
      <c r="D583" s="5" t="s">
        <v>241</v>
      </c>
      <c r="E583" s="5" t="s">
        <v>241</v>
      </c>
      <c r="F583" s="5" t="s">
        <v>241</v>
      </c>
      <c r="G583" s="5" t="s">
        <v>702</v>
      </c>
      <c r="H583" s="5" t="s">
        <v>1592</v>
      </c>
      <c r="I583" s="7">
        <v>46265</v>
      </c>
      <c r="J583" s="5"/>
      <c r="L583" s="5" t="s">
        <v>2474</v>
      </c>
      <c r="N583" s="55"/>
    </row>
    <row r="584" spans="1:14" s="6" customFormat="1" hidden="1" x14ac:dyDescent="0.35">
      <c r="A584" s="5" t="s">
        <v>2153</v>
      </c>
      <c r="B584" s="5" t="s">
        <v>2154</v>
      </c>
      <c r="C584" s="5" t="s">
        <v>2155</v>
      </c>
      <c r="D584" s="5" t="s">
        <v>241</v>
      </c>
      <c r="E584" s="5" t="s">
        <v>241</v>
      </c>
      <c r="F584" s="5" t="s">
        <v>241</v>
      </c>
      <c r="G584" s="5" t="s">
        <v>468</v>
      </c>
      <c r="H584" s="5" t="s">
        <v>2156</v>
      </c>
      <c r="I584" s="7">
        <v>46265</v>
      </c>
      <c r="J584" s="5"/>
      <c r="L584" s="5" t="s">
        <v>2474</v>
      </c>
      <c r="N584" s="55"/>
    </row>
    <row r="585" spans="1:14" s="6" customFormat="1" hidden="1" x14ac:dyDescent="0.35">
      <c r="A585" s="5" t="s">
        <v>2157</v>
      </c>
      <c r="B585" s="5" t="s">
        <v>2158</v>
      </c>
      <c r="C585" s="5" t="s">
        <v>2159</v>
      </c>
      <c r="D585" s="5" t="s">
        <v>241</v>
      </c>
      <c r="E585" s="5" t="s">
        <v>241</v>
      </c>
      <c r="F585" s="5" t="s">
        <v>241</v>
      </c>
      <c r="G585" s="5" t="s">
        <v>702</v>
      </c>
      <c r="H585" s="5" t="s">
        <v>1592</v>
      </c>
      <c r="I585" s="7">
        <v>46265</v>
      </c>
      <c r="J585" s="5"/>
      <c r="L585" s="5" t="s">
        <v>2474</v>
      </c>
      <c r="N585" s="55"/>
    </row>
    <row r="586" spans="1:14" s="6" customFormat="1" hidden="1" x14ac:dyDescent="0.35">
      <c r="A586" s="5" t="s">
        <v>2160</v>
      </c>
      <c r="B586" s="5" t="s">
        <v>2161</v>
      </c>
      <c r="C586" s="5" t="s">
        <v>2162</v>
      </c>
      <c r="D586" s="5" t="s">
        <v>241</v>
      </c>
      <c r="E586" s="5" t="s">
        <v>241</v>
      </c>
      <c r="F586" s="5" t="s">
        <v>241</v>
      </c>
      <c r="G586" s="5" t="s">
        <v>659</v>
      </c>
      <c r="H586" s="5" t="s">
        <v>1588</v>
      </c>
      <c r="I586" s="7">
        <v>46267</v>
      </c>
      <c r="J586" s="5"/>
      <c r="L586" s="5" t="s">
        <v>2474</v>
      </c>
      <c r="N586" s="55"/>
    </row>
    <row r="587" spans="1:14" s="1" customFormat="1" hidden="1" x14ac:dyDescent="0.35">
      <c r="A587" s="5" t="s">
        <v>2163</v>
      </c>
      <c r="B587" s="5" t="s">
        <v>2164</v>
      </c>
      <c r="C587" s="5" t="s">
        <v>2165</v>
      </c>
      <c r="D587" s="5" t="s">
        <v>29</v>
      </c>
      <c r="E587" s="5" t="s">
        <v>395</v>
      </c>
      <c r="F587" s="2" t="s">
        <v>395</v>
      </c>
      <c r="G587" s="5"/>
      <c r="H587" s="5" t="s">
        <v>187</v>
      </c>
      <c r="I587" s="7">
        <v>46272</v>
      </c>
      <c r="J587" s="6" t="s">
        <v>807</v>
      </c>
      <c r="K587" s="6" t="s">
        <v>33</v>
      </c>
      <c r="L587" s="5" t="s">
        <v>2472</v>
      </c>
      <c r="M587" s="25"/>
      <c r="N587" s="56"/>
    </row>
    <row r="588" spans="1:14" s="1" customFormat="1" hidden="1" x14ac:dyDescent="0.35">
      <c r="A588" s="5" t="s">
        <v>2166</v>
      </c>
      <c r="B588" s="2" t="s">
        <v>2167</v>
      </c>
      <c r="C588" s="2" t="s">
        <v>2168</v>
      </c>
      <c r="D588" s="2" t="s">
        <v>20</v>
      </c>
      <c r="E588" s="2" t="s">
        <v>20</v>
      </c>
      <c r="F588" s="2" t="s">
        <v>20</v>
      </c>
      <c r="G588" s="2" t="s">
        <v>84</v>
      </c>
      <c r="H588" s="2" t="s">
        <v>856</v>
      </c>
      <c r="I588" s="24">
        <v>46273</v>
      </c>
      <c r="J588" s="2"/>
      <c r="K588" s="25"/>
      <c r="L588" s="2" t="s">
        <v>2473</v>
      </c>
      <c r="M588" s="25"/>
      <c r="N588" s="56"/>
    </row>
    <row r="589" spans="1:14" s="1" customFormat="1" hidden="1" x14ac:dyDescent="0.35">
      <c r="A589" s="5" t="s">
        <v>2169</v>
      </c>
      <c r="B589" s="5" t="s">
        <v>2170</v>
      </c>
      <c r="C589" s="5" t="s">
        <v>2171</v>
      </c>
      <c r="D589" s="5" t="s">
        <v>29</v>
      </c>
      <c r="E589" s="5" t="s">
        <v>395</v>
      </c>
      <c r="F589" s="2" t="s">
        <v>395</v>
      </c>
      <c r="G589" s="5"/>
      <c r="H589" s="5" t="s">
        <v>1739</v>
      </c>
      <c r="I589" s="7">
        <v>46272</v>
      </c>
      <c r="J589" s="6" t="s">
        <v>807</v>
      </c>
      <c r="K589" s="6" t="s">
        <v>33</v>
      </c>
      <c r="L589" s="5" t="s">
        <v>2472</v>
      </c>
      <c r="M589" s="25"/>
      <c r="N589" s="56"/>
    </row>
    <row r="590" spans="1:14" s="6" customFormat="1" hidden="1" x14ac:dyDescent="0.35">
      <c r="A590" s="5" t="s">
        <v>2172</v>
      </c>
      <c r="B590" s="5" t="s">
        <v>2173</v>
      </c>
      <c r="C590" s="5" t="s">
        <v>2174</v>
      </c>
      <c r="D590" s="5" t="s">
        <v>241</v>
      </c>
      <c r="E590" s="5" t="s">
        <v>241</v>
      </c>
      <c r="F590" s="5" t="s">
        <v>241</v>
      </c>
      <c r="G590" s="5" t="s">
        <v>468</v>
      </c>
      <c r="H590" s="5" t="s">
        <v>2175</v>
      </c>
      <c r="I590" s="7">
        <v>46268</v>
      </c>
      <c r="J590" s="5"/>
      <c r="L590" s="5" t="s">
        <v>2474</v>
      </c>
      <c r="N590" s="55"/>
    </row>
    <row r="591" spans="1:14" s="6" customFormat="1" hidden="1" x14ac:dyDescent="0.35">
      <c r="A591" s="5" t="s">
        <v>2176</v>
      </c>
      <c r="B591" s="5" t="s">
        <v>2177</v>
      </c>
      <c r="C591" s="5" t="s">
        <v>2178</v>
      </c>
      <c r="D591" s="5" t="s">
        <v>241</v>
      </c>
      <c r="E591" s="5" t="s">
        <v>241</v>
      </c>
      <c r="F591" s="5" t="s">
        <v>241</v>
      </c>
      <c r="G591" s="5" t="s">
        <v>282</v>
      </c>
      <c r="H591" s="5" t="s">
        <v>1560</v>
      </c>
      <c r="I591" s="7">
        <v>46258</v>
      </c>
      <c r="J591" s="5"/>
      <c r="L591" s="5" t="s">
        <v>2474</v>
      </c>
      <c r="N591" s="55"/>
    </row>
    <row r="592" spans="1:14" s="6" customFormat="1" hidden="1" x14ac:dyDescent="0.35">
      <c r="A592" s="5" t="s">
        <v>2182</v>
      </c>
      <c r="B592" s="5" t="s">
        <v>2183</v>
      </c>
      <c r="C592" s="5" t="s">
        <v>2184</v>
      </c>
      <c r="D592" s="5" t="s">
        <v>241</v>
      </c>
      <c r="E592" s="5" t="s">
        <v>241</v>
      </c>
      <c r="F592" s="5" t="s">
        <v>241</v>
      </c>
      <c r="G592" s="5" t="s">
        <v>282</v>
      </c>
      <c r="H592" s="5" t="s">
        <v>1560</v>
      </c>
      <c r="I592" s="7">
        <v>46258</v>
      </c>
      <c r="J592" s="5"/>
      <c r="L592" s="5" t="s">
        <v>2474</v>
      </c>
      <c r="N592" s="55"/>
    </row>
    <row r="593" spans="1:14" s="6" customFormat="1" hidden="1" x14ac:dyDescent="0.35">
      <c r="A593" s="5" t="s">
        <v>2185</v>
      </c>
      <c r="B593" s="5" t="s">
        <v>2186</v>
      </c>
      <c r="C593" s="5" t="s">
        <v>2187</v>
      </c>
      <c r="D593" s="5" t="s">
        <v>241</v>
      </c>
      <c r="E593" s="5" t="s">
        <v>241</v>
      </c>
      <c r="F593" s="5" t="s">
        <v>241</v>
      </c>
      <c r="G593" s="5" t="s">
        <v>282</v>
      </c>
      <c r="H593" s="5" t="s">
        <v>1560</v>
      </c>
      <c r="I593" s="7">
        <v>46258</v>
      </c>
      <c r="J593" s="5"/>
      <c r="L593" s="5" t="s">
        <v>2474</v>
      </c>
      <c r="N593" s="55"/>
    </row>
    <row r="594" spans="1:14" s="6" customFormat="1" hidden="1" x14ac:dyDescent="0.35">
      <c r="A594" s="5" t="s">
        <v>2188</v>
      </c>
      <c r="B594" s="5" t="s">
        <v>2189</v>
      </c>
      <c r="C594" s="5" t="s">
        <v>2190</v>
      </c>
      <c r="D594" s="5" t="s">
        <v>241</v>
      </c>
      <c r="E594" s="5" t="s">
        <v>241</v>
      </c>
      <c r="F594" s="5" t="s">
        <v>241</v>
      </c>
      <c r="G594" s="5" t="s">
        <v>282</v>
      </c>
      <c r="H594" s="5" t="s">
        <v>1560</v>
      </c>
      <c r="I594" s="7">
        <v>46258</v>
      </c>
      <c r="J594" s="5"/>
      <c r="L594" s="5" t="s">
        <v>2474</v>
      </c>
      <c r="N594" s="55"/>
    </row>
    <row r="595" spans="1:14" s="6" customFormat="1" hidden="1" x14ac:dyDescent="0.35">
      <c r="A595" s="5" t="s">
        <v>2191</v>
      </c>
      <c r="B595" s="5" t="s">
        <v>2192</v>
      </c>
      <c r="C595" s="5" t="s">
        <v>2193</v>
      </c>
      <c r="D595" s="5" t="s">
        <v>241</v>
      </c>
      <c r="E595" s="5" t="s">
        <v>241</v>
      </c>
      <c r="F595" s="5" t="s">
        <v>241</v>
      </c>
      <c r="G595" s="5" t="s">
        <v>282</v>
      </c>
      <c r="H595" s="5" t="s">
        <v>1560</v>
      </c>
      <c r="I595" s="7">
        <v>46258</v>
      </c>
      <c r="J595" s="5"/>
      <c r="L595" s="5" t="s">
        <v>2474</v>
      </c>
      <c r="N595" s="55"/>
    </row>
    <row r="596" spans="1:14" s="6" customFormat="1" hidden="1" x14ac:dyDescent="0.35">
      <c r="A596" s="5" t="s">
        <v>2194</v>
      </c>
      <c r="B596" s="5" t="s">
        <v>2195</v>
      </c>
      <c r="C596" s="5" t="s">
        <v>2196</v>
      </c>
      <c r="D596" s="5" t="s">
        <v>241</v>
      </c>
      <c r="E596" s="5" t="s">
        <v>241</v>
      </c>
      <c r="F596" s="5" t="s">
        <v>241</v>
      </c>
      <c r="G596" s="5" t="s">
        <v>282</v>
      </c>
      <c r="H596" s="5" t="s">
        <v>1560</v>
      </c>
      <c r="I596" s="7">
        <v>46258</v>
      </c>
      <c r="J596" s="5"/>
      <c r="L596" s="5" t="s">
        <v>2474</v>
      </c>
      <c r="N596" s="55"/>
    </row>
    <row r="597" spans="1:14" s="6" customFormat="1" hidden="1" x14ac:dyDescent="0.35">
      <c r="A597" s="5" t="s">
        <v>2197</v>
      </c>
      <c r="B597" s="5" t="s">
        <v>2198</v>
      </c>
      <c r="C597" s="5" t="s">
        <v>2199</v>
      </c>
      <c r="D597" s="5" t="s">
        <v>241</v>
      </c>
      <c r="E597" s="5" t="s">
        <v>241</v>
      </c>
      <c r="F597" s="5" t="s">
        <v>241</v>
      </c>
      <c r="G597" s="5" t="s">
        <v>282</v>
      </c>
      <c r="H597" s="5" t="s">
        <v>1892</v>
      </c>
      <c r="I597" s="7">
        <v>46258</v>
      </c>
      <c r="J597" s="5"/>
      <c r="L597" s="5" t="s">
        <v>2474</v>
      </c>
      <c r="N597" s="55"/>
    </row>
    <row r="598" spans="1:14" s="6" customFormat="1" hidden="1" x14ac:dyDescent="0.35">
      <c r="A598" s="5" t="s">
        <v>2200</v>
      </c>
      <c r="B598" s="5" t="s">
        <v>2201</v>
      </c>
      <c r="C598" s="5" t="s">
        <v>2202</v>
      </c>
      <c r="D598" s="5" t="s">
        <v>241</v>
      </c>
      <c r="E598" s="5" t="s">
        <v>241</v>
      </c>
      <c r="F598" s="5" t="s">
        <v>241</v>
      </c>
      <c r="G598" s="5" t="s">
        <v>282</v>
      </c>
      <c r="H598" s="5" t="s">
        <v>1560</v>
      </c>
      <c r="I598" s="7">
        <v>46258</v>
      </c>
      <c r="J598" s="5"/>
      <c r="L598" s="5" t="s">
        <v>2474</v>
      </c>
      <c r="N598" s="55"/>
    </row>
    <row r="599" spans="1:14" s="6" customFormat="1" hidden="1" x14ac:dyDescent="0.35">
      <c r="A599" s="5" t="s">
        <v>2203</v>
      </c>
      <c r="B599" s="5" t="s">
        <v>2204</v>
      </c>
      <c r="C599" s="5" t="s">
        <v>2205</v>
      </c>
      <c r="D599" s="5" t="s">
        <v>241</v>
      </c>
      <c r="E599" s="5" t="s">
        <v>241</v>
      </c>
      <c r="F599" s="5" t="s">
        <v>241</v>
      </c>
      <c r="G599" s="5" t="s">
        <v>282</v>
      </c>
      <c r="H599" s="5" t="s">
        <v>1560</v>
      </c>
      <c r="I599" s="7">
        <v>46258</v>
      </c>
      <c r="J599" s="5"/>
      <c r="L599" s="5" t="s">
        <v>2474</v>
      </c>
      <c r="N599" s="55"/>
    </row>
    <row r="600" spans="1:14" s="6" customFormat="1" hidden="1" x14ac:dyDescent="0.35">
      <c r="A600" s="5" t="s">
        <v>2206</v>
      </c>
      <c r="B600" s="5" t="s">
        <v>2207</v>
      </c>
      <c r="C600" s="5" t="s">
        <v>2208</v>
      </c>
      <c r="D600" s="5" t="s">
        <v>241</v>
      </c>
      <c r="E600" s="5" t="s">
        <v>241</v>
      </c>
      <c r="F600" s="5" t="s">
        <v>241</v>
      </c>
      <c r="G600" s="5" t="s">
        <v>282</v>
      </c>
      <c r="H600" s="5" t="s">
        <v>1560</v>
      </c>
      <c r="I600" s="7">
        <v>46258</v>
      </c>
      <c r="J600" s="5"/>
      <c r="L600" s="5" t="s">
        <v>2474</v>
      </c>
      <c r="N600" s="55"/>
    </row>
    <row r="601" spans="1:14" s="6" customFormat="1" hidden="1" x14ac:dyDescent="0.35">
      <c r="A601" s="5" t="s">
        <v>2209</v>
      </c>
      <c r="B601" s="5" t="s">
        <v>2210</v>
      </c>
      <c r="C601" s="5" t="s">
        <v>2211</v>
      </c>
      <c r="D601" s="5" t="s">
        <v>241</v>
      </c>
      <c r="E601" s="5" t="s">
        <v>241</v>
      </c>
      <c r="F601" s="5" t="s">
        <v>241</v>
      </c>
      <c r="G601" s="5" t="s">
        <v>282</v>
      </c>
      <c r="H601" s="5" t="s">
        <v>1560</v>
      </c>
      <c r="I601" s="7">
        <v>46258</v>
      </c>
      <c r="J601" s="5"/>
      <c r="L601" s="5" t="s">
        <v>2474</v>
      </c>
      <c r="N601" s="55"/>
    </row>
    <row r="602" spans="1:14" s="6" customFormat="1" hidden="1" x14ac:dyDescent="0.35">
      <c r="A602" s="5" t="s">
        <v>2212</v>
      </c>
      <c r="B602" s="5" t="s">
        <v>2213</v>
      </c>
      <c r="C602" s="5" t="s">
        <v>2214</v>
      </c>
      <c r="D602" s="5" t="s">
        <v>241</v>
      </c>
      <c r="E602" s="5" t="s">
        <v>241</v>
      </c>
      <c r="F602" s="5" t="s">
        <v>241</v>
      </c>
      <c r="G602" s="5" t="s">
        <v>282</v>
      </c>
      <c r="H602" s="5" t="s">
        <v>1560</v>
      </c>
      <c r="I602" s="7">
        <v>46265</v>
      </c>
      <c r="J602" s="5"/>
      <c r="L602" s="5" t="s">
        <v>2474</v>
      </c>
      <c r="N602" s="55"/>
    </row>
    <row r="603" spans="1:14" s="6" customFormat="1" hidden="1" x14ac:dyDescent="0.35">
      <c r="A603" s="5" t="s">
        <v>2215</v>
      </c>
      <c r="B603" s="5" t="s">
        <v>2216</v>
      </c>
      <c r="C603" s="5" t="s">
        <v>2217</v>
      </c>
      <c r="D603" s="5" t="s">
        <v>241</v>
      </c>
      <c r="E603" s="5" t="s">
        <v>241</v>
      </c>
      <c r="F603" s="5" t="s">
        <v>241</v>
      </c>
      <c r="G603" s="5" t="s">
        <v>282</v>
      </c>
      <c r="H603" s="5" t="s">
        <v>1560</v>
      </c>
      <c r="I603" s="7">
        <v>46265</v>
      </c>
      <c r="J603" s="5"/>
      <c r="L603" s="5" t="s">
        <v>2474</v>
      </c>
      <c r="N603" s="55"/>
    </row>
    <row r="604" spans="1:14" s="6" customFormat="1" hidden="1" x14ac:dyDescent="0.35">
      <c r="A604" s="5" t="s">
        <v>2218</v>
      </c>
      <c r="B604" s="5" t="s">
        <v>2219</v>
      </c>
      <c r="C604" s="5" t="s">
        <v>2220</v>
      </c>
      <c r="D604" s="5" t="s">
        <v>241</v>
      </c>
      <c r="E604" s="5" t="s">
        <v>241</v>
      </c>
      <c r="F604" s="5" t="s">
        <v>241</v>
      </c>
      <c r="G604" s="5" t="s">
        <v>282</v>
      </c>
      <c r="H604" s="5" t="s">
        <v>1560</v>
      </c>
      <c r="I604" s="7">
        <v>46265</v>
      </c>
      <c r="J604" s="5"/>
      <c r="L604" s="5" t="s">
        <v>2474</v>
      </c>
      <c r="N604" s="55"/>
    </row>
    <row r="605" spans="1:14" s="6" customFormat="1" hidden="1" x14ac:dyDescent="0.35">
      <c r="A605" s="5" t="s">
        <v>2221</v>
      </c>
      <c r="B605" s="5" t="s">
        <v>2222</v>
      </c>
      <c r="C605" s="5" t="s">
        <v>2223</v>
      </c>
      <c r="D605" s="5" t="s">
        <v>241</v>
      </c>
      <c r="E605" s="5" t="s">
        <v>241</v>
      </c>
      <c r="F605" s="5" t="s">
        <v>241</v>
      </c>
      <c r="G605" s="5" t="s">
        <v>282</v>
      </c>
      <c r="H605" s="5" t="s">
        <v>1560</v>
      </c>
      <c r="I605" s="7">
        <v>46265</v>
      </c>
      <c r="J605" s="5"/>
      <c r="L605" s="5" t="s">
        <v>2474</v>
      </c>
      <c r="N605" s="55"/>
    </row>
    <row r="606" spans="1:14" s="6" customFormat="1" hidden="1" x14ac:dyDescent="0.35">
      <c r="A606" s="5" t="s">
        <v>2224</v>
      </c>
      <c r="B606" s="5" t="s">
        <v>2225</v>
      </c>
      <c r="C606" s="5" t="s">
        <v>2226</v>
      </c>
      <c r="D606" s="5" t="s">
        <v>241</v>
      </c>
      <c r="E606" s="5" t="s">
        <v>241</v>
      </c>
      <c r="F606" s="5" t="s">
        <v>241</v>
      </c>
      <c r="G606" s="5" t="s">
        <v>702</v>
      </c>
      <c r="H606" s="5" t="s">
        <v>1592</v>
      </c>
      <c r="I606" s="7">
        <v>46272</v>
      </c>
      <c r="J606" s="5"/>
      <c r="L606" s="5" t="s">
        <v>2474</v>
      </c>
      <c r="N606" s="55"/>
    </row>
    <row r="607" spans="1:14" s="6" customFormat="1" hidden="1" x14ac:dyDescent="0.35">
      <c r="A607" s="5" t="s">
        <v>2227</v>
      </c>
      <c r="B607" s="5" t="s">
        <v>2228</v>
      </c>
      <c r="C607" s="5" t="s">
        <v>2229</v>
      </c>
      <c r="D607" s="5" t="s">
        <v>241</v>
      </c>
      <c r="E607" s="5" t="s">
        <v>241</v>
      </c>
      <c r="F607" s="5" t="s">
        <v>241</v>
      </c>
      <c r="G607" s="5" t="s">
        <v>702</v>
      </c>
      <c r="H607" s="5" t="s">
        <v>1592</v>
      </c>
      <c r="I607" s="7">
        <v>46272</v>
      </c>
      <c r="J607" s="5"/>
      <c r="L607" s="5" t="s">
        <v>2474</v>
      </c>
      <c r="N607" s="55"/>
    </row>
    <row r="608" spans="1:14" s="6" customFormat="1" hidden="1" x14ac:dyDescent="0.35">
      <c r="A608" s="5" t="s">
        <v>2230</v>
      </c>
      <c r="B608" s="5" t="s">
        <v>2231</v>
      </c>
      <c r="C608" s="5" t="s">
        <v>2232</v>
      </c>
      <c r="D608" s="5" t="s">
        <v>241</v>
      </c>
      <c r="E608" s="5" t="s">
        <v>241</v>
      </c>
      <c r="F608" s="5" t="s">
        <v>241</v>
      </c>
      <c r="G608" s="5" t="s">
        <v>702</v>
      </c>
      <c r="H608" s="5" t="s">
        <v>1599</v>
      </c>
      <c r="I608" s="7">
        <v>46272</v>
      </c>
      <c r="J608" s="5"/>
      <c r="L608" s="5" t="s">
        <v>2474</v>
      </c>
      <c r="N608" s="55"/>
    </row>
    <row r="609" spans="1:14" s="6" customFormat="1" hidden="1" x14ac:dyDescent="0.35">
      <c r="A609" s="5" t="s">
        <v>2233</v>
      </c>
      <c r="B609" s="5" t="s">
        <v>2234</v>
      </c>
      <c r="C609" s="5" t="s">
        <v>2235</v>
      </c>
      <c r="D609" s="5" t="s">
        <v>241</v>
      </c>
      <c r="E609" s="5" t="s">
        <v>241</v>
      </c>
      <c r="F609" s="5" t="s">
        <v>241</v>
      </c>
      <c r="G609" s="5" t="s">
        <v>702</v>
      </c>
      <c r="H609" s="5" t="s">
        <v>1592</v>
      </c>
      <c r="I609" s="7">
        <v>46272</v>
      </c>
      <c r="J609" s="5"/>
      <c r="L609" s="5" t="s">
        <v>2474</v>
      </c>
      <c r="N609" s="55"/>
    </row>
    <row r="610" spans="1:14" s="6" customFormat="1" hidden="1" x14ac:dyDescent="0.35">
      <c r="A610" s="5" t="s">
        <v>2236</v>
      </c>
      <c r="B610" s="5" t="s">
        <v>2237</v>
      </c>
      <c r="C610" s="5" t="s">
        <v>2238</v>
      </c>
      <c r="D610" s="5" t="s">
        <v>241</v>
      </c>
      <c r="E610" s="5" t="s">
        <v>241</v>
      </c>
      <c r="F610" s="5" t="s">
        <v>241</v>
      </c>
      <c r="G610" s="5" t="s">
        <v>702</v>
      </c>
      <c r="H610" s="5" t="s">
        <v>1439</v>
      </c>
      <c r="I610" s="7">
        <v>46268</v>
      </c>
      <c r="J610" s="5"/>
      <c r="L610" s="5" t="s">
        <v>2474</v>
      </c>
      <c r="N610" s="55"/>
    </row>
    <row r="611" spans="1:14" s="6" customFormat="1" hidden="1" x14ac:dyDescent="0.35">
      <c r="A611" s="5" t="s">
        <v>2239</v>
      </c>
      <c r="B611" s="5" t="s">
        <v>2240</v>
      </c>
      <c r="C611" s="5" t="s">
        <v>2241</v>
      </c>
      <c r="D611" s="5" t="s">
        <v>241</v>
      </c>
      <c r="E611" s="5" t="s">
        <v>241</v>
      </c>
      <c r="F611" s="5" t="s">
        <v>241</v>
      </c>
      <c r="G611" s="5" t="s">
        <v>702</v>
      </c>
      <c r="H611" s="5" t="s">
        <v>1592</v>
      </c>
      <c r="I611" s="7">
        <v>46279</v>
      </c>
      <c r="J611" s="5"/>
      <c r="L611" s="5" t="s">
        <v>2474</v>
      </c>
      <c r="N611" s="55"/>
    </row>
    <row r="612" spans="1:14" s="6" customFormat="1" hidden="1" x14ac:dyDescent="0.35">
      <c r="A612" s="5" t="s">
        <v>2242</v>
      </c>
      <c r="B612" s="5" t="s">
        <v>2243</v>
      </c>
      <c r="C612" s="5" t="s">
        <v>2244</v>
      </c>
      <c r="D612" s="5" t="s">
        <v>241</v>
      </c>
      <c r="E612" s="5" t="s">
        <v>241</v>
      </c>
      <c r="F612" s="5" t="s">
        <v>241</v>
      </c>
      <c r="G612" s="5" t="s">
        <v>702</v>
      </c>
      <c r="H612" s="5" t="s">
        <v>1592</v>
      </c>
      <c r="I612" s="7">
        <v>46279</v>
      </c>
      <c r="J612" s="5"/>
      <c r="L612" s="5" t="s">
        <v>2474</v>
      </c>
      <c r="N612" s="55"/>
    </row>
    <row r="613" spans="1:14" s="6" customFormat="1" hidden="1" x14ac:dyDescent="0.35">
      <c r="A613" s="5" t="s">
        <v>2245</v>
      </c>
      <c r="B613" s="5" t="s">
        <v>2246</v>
      </c>
      <c r="C613" s="5" t="s">
        <v>2247</v>
      </c>
      <c r="D613" s="5" t="s">
        <v>241</v>
      </c>
      <c r="E613" s="5" t="s">
        <v>241</v>
      </c>
      <c r="F613" s="5" t="s">
        <v>241</v>
      </c>
      <c r="G613" s="5" t="s">
        <v>702</v>
      </c>
      <c r="H613" s="5" t="s">
        <v>1592</v>
      </c>
      <c r="I613" s="7">
        <v>46280</v>
      </c>
      <c r="J613" s="5"/>
      <c r="L613" s="5" t="s">
        <v>2474</v>
      </c>
      <c r="N613" s="55"/>
    </row>
    <row r="614" spans="1:14" s="6" customFormat="1" hidden="1" x14ac:dyDescent="0.35">
      <c r="A614" s="5" t="s">
        <v>2248</v>
      </c>
      <c r="B614" s="5" t="s">
        <v>2249</v>
      </c>
      <c r="C614" s="5" t="s">
        <v>2250</v>
      </c>
      <c r="D614" s="5" t="s">
        <v>241</v>
      </c>
      <c r="E614" s="5" t="s">
        <v>241</v>
      </c>
      <c r="F614" s="5" t="s">
        <v>241</v>
      </c>
      <c r="G614" s="5" t="s">
        <v>702</v>
      </c>
      <c r="H614" s="5" t="s">
        <v>1592</v>
      </c>
      <c r="I614" s="7">
        <v>46280</v>
      </c>
      <c r="J614" s="5"/>
      <c r="L614" s="5" t="s">
        <v>2474</v>
      </c>
      <c r="N614" s="55"/>
    </row>
    <row r="615" spans="1:14" s="6" customFormat="1" hidden="1" x14ac:dyDescent="0.35">
      <c r="A615" s="5" t="s">
        <v>2251</v>
      </c>
      <c r="B615" s="5" t="s">
        <v>2252</v>
      </c>
      <c r="C615" s="5" t="s">
        <v>2253</v>
      </c>
      <c r="D615" s="5" t="s">
        <v>241</v>
      </c>
      <c r="E615" s="5" t="s">
        <v>241</v>
      </c>
      <c r="F615" s="5" t="s">
        <v>241</v>
      </c>
      <c r="G615" s="5" t="s">
        <v>659</v>
      </c>
      <c r="H615" s="5" t="s">
        <v>1588</v>
      </c>
      <c r="I615" s="7">
        <v>46281</v>
      </c>
      <c r="J615" s="5"/>
      <c r="L615" s="5" t="s">
        <v>2474</v>
      </c>
      <c r="N615" s="55"/>
    </row>
    <row r="616" spans="1:14" s="6" customFormat="1" hidden="1" x14ac:dyDescent="0.35">
      <c r="A616" s="5" t="s">
        <v>2254</v>
      </c>
      <c r="B616" s="5" t="s">
        <v>2255</v>
      </c>
      <c r="C616" s="5" t="s">
        <v>2256</v>
      </c>
      <c r="D616" s="5" t="s">
        <v>241</v>
      </c>
      <c r="E616" s="5" t="s">
        <v>241</v>
      </c>
      <c r="F616" s="5" t="s">
        <v>241</v>
      </c>
      <c r="G616" s="5" t="s">
        <v>63</v>
      </c>
      <c r="H616" s="5" t="s">
        <v>2257</v>
      </c>
      <c r="I616" s="7">
        <v>46280</v>
      </c>
      <c r="J616" s="5"/>
      <c r="L616" s="5" t="s">
        <v>2474</v>
      </c>
      <c r="N616" s="55"/>
    </row>
    <row r="617" spans="1:14" s="6" customFormat="1" hidden="1" x14ac:dyDescent="0.35">
      <c r="A617" s="5" t="s">
        <v>2258</v>
      </c>
      <c r="B617" s="5" t="s">
        <v>2259</v>
      </c>
      <c r="C617" s="5" t="s">
        <v>2260</v>
      </c>
      <c r="D617" s="5" t="s">
        <v>241</v>
      </c>
      <c r="E617" s="5" t="s">
        <v>241</v>
      </c>
      <c r="F617" s="5" t="s">
        <v>241</v>
      </c>
      <c r="G617" s="5" t="s">
        <v>63</v>
      </c>
      <c r="H617" s="5" t="s">
        <v>1747</v>
      </c>
      <c r="I617" s="7">
        <v>46280</v>
      </c>
      <c r="J617" s="5"/>
      <c r="L617" s="5" t="s">
        <v>2474</v>
      </c>
      <c r="N617" s="55"/>
    </row>
    <row r="618" spans="1:14" s="1" customFormat="1" hidden="1" x14ac:dyDescent="0.35">
      <c r="A618" s="5" t="s">
        <v>2261</v>
      </c>
      <c r="B618" s="2" t="s">
        <v>2262</v>
      </c>
      <c r="C618" s="2" t="s">
        <v>2263</v>
      </c>
      <c r="D618" s="2" t="s">
        <v>50</v>
      </c>
      <c r="E618" s="26" t="s">
        <v>2476</v>
      </c>
      <c r="F618" s="2" t="s">
        <v>101</v>
      </c>
      <c r="G618" s="2"/>
      <c r="H618" s="2" t="s">
        <v>106</v>
      </c>
      <c r="I618" s="24">
        <v>46286</v>
      </c>
      <c r="J618" s="2"/>
      <c r="K618" s="25"/>
      <c r="L618" s="2" t="s">
        <v>2473</v>
      </c>
      <c r="M618" s="25"/>
      <c r="N618" s="56"/>
    </row>
    <row r="619" spans="1:14" s="1" customFormat="1" hidden="1" x14ac:dyDescent="0.35">
      <c r="A619" s="5" t="s">
        <v>2264</v>
      </c>
      <c r="B619" s="5" t="s">
        <v>2265</v>
      </c>
      <c r="C619" s="5" t="s">
        <v>2266</v>
      </c>
      <c r="D619" s="5" t="s">
        <v>29</v>
      </c>
      <c r="E619" s="5" t="s">
        <v>395</v>
      </c>
      <c r="F619" s="2" t="s">
        <v>395</v>
      </c>
      <c r="G619" s="6"/>
      <c r="H619" s="5" t="s">
        <v>2267</v>
      </c>
      <c r="I619" s="7">
        <v>46289</v>
      </c>
      <c r="J619" s="6" t="s">
        <v>807</v>
      </c>
      <c r="K619" s="6" t="s">
        <v>33</v>
      </c>
      <c r="L619" s="25" t="s">
        <v>2475</v>
      </c>
      <c r="M619" s="25"/>
      <c r="N619" s="56"/>
    </row>
    <row r="620" spans="1:14" s="6" customFormat="1" hidden="1" x14ac:dyDescent="0.35">
      <c r="A620" s="5" t="s">
        <v>2268</v>
      </c>
      <c r="B620" s="5" t="s">
        <v>2269</v>
      </c>
      <c r="C620" s="5" t="s">
        <v>2270</v>
      </c>
      <c r="D620" s="5" t="s">
        <v>241</v>
      </c>
      <c r="E620" s="5" t="s">
        <v>241</v>
      </c>
      <c r="F620" s="5" t="s">
        <v>241</v>
      </c>
      <c r="G620" s="5" t="s">
        <v>282</v>
      </c>
      <c r="H620" s="5" t="s">
        <v>2271</v>
      </c>
      <c r="I620" s="7">
        <v>46286</v>
      </c>
      <c r="J620" s="5"/>
      <c r="L620" s="5" t="s">
        <v>2474</v>
      </c>
      <c r="N620" s="55"/>
    </row>
    <row r="621" spans="1:14" s="6" customFormat="1" hidden="1" x14ac:dyDescent="0.35">
      <c r="A621" s="5" t="s">
        <v>2272</v>
      </c>
      <c r="B621" s="5" t="s">
        <v>2273</v>
      </c>
      <c r="C621" s="5" t="s">
        <v>2274</v>
      </c>
      <c r="D621" s="5" t="s">
        <v>241</v>
      </c>
      <c r="E621" s="5" t="s">
        <v>241</v>
      </c>
      <c r="F621" s="5" t="s">
        <v>241</v>
      </c>
      <c r="G621" s="5" t="s">
        <v>282</v>
      </c>
      <c r="H621" s="5" t="s">
        <v>2275</v>
      </c>
      <c r="I621" s="7">
        <v>46287</v>
      </c>
      <c r="J621" s="5"/>
      <c r="L621" s="5" t="s">
        <v>2474</v>
      </c>
      <c r="N621" s="55"/>
    </row>
    <row r="622" spans="1:14" s="6" customFormat="1" hidden="1" x14ac:dyDescent="0.35">
      <c r="A622" s="5" t="s">
        <v>2276</v>
      </c>
      <c r="B622" s="5" t="s">
        <v>2277</v>
      </c>
      <c r="C622" s="5" t="s">
        <v>2278</v>
      </c>
      <c r="D622" s="5" t="s">
        <v>241</v>
      </c>
      <c r="E622" s="5" t="s">
        <v>241</v>
      </c>
      <c r="F622" s="5" t="s">
        <v>241</v>
      </c>
      <c r="G622" s="5" t="s">
        <v>282</v>
      </c>
      <c r="H622" s="5" t="s">
        <v>2275</v>
      </c>
      <c r="I622" s="7">
        <v>46286</v>
      </c>
      <c r="J622" s="5"/>
      <c r="L622" s="5" t="s">
        <v>2474</v>
      </c>
      <c r="N622" s="55"/>
    </row>
    <row r="623" spans="1:14" s="6" customFormat="1" hidden="1" x14ac:dyDescent="0.35">
      <c r="A623" s="5" t="s">
        <v>2279</v>
      </c>
      <c r="B623" s="5" t="s">
        <v>2280</v>
      </c>
      <c r="C623" s="5" t="s">
        <v>2281</v>
      </c>
      <c r="D623" s="5" t="s">
        <v>241</v>
      </c>
      <c r="E623" s="5" t="s">
        <v>241</v>
      </c>
      <c r="F623" s="5" t="s">
        <v>241</v>
      </c>
      <c r="G623" s="5" t="s">
        <v>282</v>
      </c>
      <c r="H623" s="5" t="s">
        <v>1560</v>
      </c>
      <c r="I623" s="7">
        <v>46286</v>
      </c>
      <c r="J623" s="5"/>
      <c r="L623" s="5" t="s">
        <v>2474</v>
      </c>
      <c r="N623" s="55"/>
    </row>
    <row r="624" spans="1:14" s="6" customFormat="1" hidden="1" x14ac:dyDescent="0.35">
      <c r="A624" s="5" t="s">
        <v>2282</v>
      </c>
      <c r="B624" s="5" t="s">
        <v>2283</v>
      </c>
      <c r="C624" s="5" t="s">
        <v>2284</v>
      </c>
      <c r="D624" s="5" t="s">
        <v>241</v>
      </c>
      <c r="E624" s="5" t="s">
        <v>241</v>
      </c>
      <c r="F624" s="5" t="s">
        <v>241</v>
      </c>
      <c r="G624" s="5" t="s">
        <v>282</v>
      </c>
      <c r="H624" s="5" t="s">
        <v>1560</v>
      </c>
      <c r="I624" s="7">
        <v>46286</v>
      </c>
      <c r="J624" s="5"/>
      <c r="L624" s="5" t="s">
        <v>2474</v>
      </c>
      <c r="N624" s="55"/>
    </row>
    <row r="625" spans="1:14" s="6" customFormat="1" hidden="1" x14ac:dyDescent="0.35">
      <c r="A625" s="5" t="s">
        <v>2285</v>
      </c>
      <c r="B625" s="5" t="s">
        <v>2286</v>
      </c>
      <c r="C625" s="5" t="s">
        <v>2287</v>
      </c>
      <c r="D625" s="5" t="s">
        <v>241</v>
      </c>
      <c r="E625" s="5" t="s">
        <v>241</v>
      </c>
      <c r="F625" s="5" t="s">
        <v>241</v>
      </c>
      <c r="G625" s="5" t="s">
        <v>282</v>
      </c>
      <c r="H625" s="5" t="s">
        <v>1560</v>
      </c>
      <c r="I625" s="7">
        <v>46286</v>
      </c>
      <c r="J625" s="5"/>
      <c r="L625" s="5" t="s">
        <v>2474</v>
      </c>
      <c r="N625" s="55"/>
    </row>
    <row r="626" spans="1:14" s="6" customFormat="1" hidden="1" x14ac:dyDescent="0.35">
      <c r="A626" s="5" t="s">
        <v>2288</v>
      </c>
      <c r="B626" s="5" t="s">
        <v>2289</v>
      </c>
      <c r="C626" s="5" t="s">
        <v>2290</v>
      </c>
      <c r="D626" s="5" t="s">
        <v>241</v>
      </c>
      <c r="E626" s="5" t="s">
        <v>241</v>
      </c>
      <c r="F626" s="5" t="s">
        <v>241</v>
      </c>
      <c r="G626" s="5" t="s">
        <v>282</v>
      </c>
      <c r="H626" s="5" t="s">
        <v>1560</v>
      </c>
      <c r="I626" s="7">
        <v>46286</v>
      </c>
      <c r="J626" s="5"/>
      <c r="L626" s="5" t="s">
        <v>2474</v>
      </c>
      <c r="N626" s="55"/>
    </row>
    <row r="627" spans="1:14" s="6" customFormat="1" hidden="1" x14ac:dyDescent="0.35">
      <c r="A627" s="5" t="s">
        <v>2291</v>
      </c>
      <c r="B627" s="5" t="s">
        <v>2292</v>
      </c>
      <c r="C627" s="5" t="s">
        <v>2293</v>
      </c>
      <c r="D627" s="5" t="s">
        <v>241</v>
      </c>
      <c r="E627" s="5" t="s">
        <v>241</v>
      </c>
      <c r="F627" s="5" t="s">
        <v>241</v>
      </c>
      <c r="G627" s="5" t="s">
        <v>282</v>
      </c>
      <c r="H627" s="5" t="s">
        <v>1560</v>
      </c>
      <c r="I627" s="7">
        <v>46286</v>
      </c>
      <c r="J627" s="5"/>
      <c r="L627" s="5" t="s">
        <v>2474</v>
      </c>
      <c r="N627" s="55"/>
    </row>
    <row r="628" spans="1:14" s="6" customFormat="1" hidden="1" x14ac:dyDescent="0.35">
      <c r="A628" s="5" t="s">
        <v>2294</v>
      </c>
      <c r="B628" s="5" t="s">
        <v>2295</v>
      </c>
      <c r="C628" s="5" t="s">
        <v>2296</v>
      </c>
      <c r="D628" s="5" t="s">
        <v>241</v>
      </c>
      <c r="E628" s="5" t="s">
        <v>241</v>
      </c>
      <c r="F628" s="5" t="s">
        <v>241</v>
      </c>
      <c r="G628" s="5" t="s">
        <v>282</v>
      </c>
      <c r="H628" s="5" t="s">
        <v>1560</v>
      </c>
      <c r="I628" s="7">
        <v>46286</v>
      </c>
      <c r="J628" s="5"/>
      <c r="L628" s="5" t="s">
        <v>2474</v>
      </c>
      <c r="N628" s="55"/>
    </row>
    <row r="629" spans="1:14" s="6" customFormat="1" hidden="1" x14ac:dyDescent="0.35">
      <c r="A629" s="5" t="s">
        <v>2297</v>
      </c>
      <c r="B629" s="5" t="s">
        <v>2298</v>
      </c>
      <c r="C629" s="5" t="s">
        <v>2299</v>
      </c>
      <c r="D629" s="5" t="s">
        <v>241</v>
      </c>
      <c r="E629" s="5" t="s">
        <v>241</v>
      </c>
      <c r="F629" s="5" t="s">
        <v>241</v>
      </c>
      <c r="G629" s="5" t="s">
        <v>282</v>
      </c>
      <c r="H629" s="5" t="s">
        <v>1560</v>
      </c>
      <c r="I629" s="7">
        <v>46286</v>
      </c>
      <c r="J629" s="5"/>
      <c r="L629" s="5" t="s">
        <v>2474</v>
      </c>
      <c r="N629" s="55"/>
    </row>
    <row r="630" spans="1:14" s="6" customFormat="1" hidden="1" x14ac:dyDescent="0.35">
      <c r="A630" s="5" t="s">
        <v>2300</v>
      </c>
      <c r="B630" s="5" t="s">
        <v>2301</v>
      </c>
      <c r="C630" s="5" t="s">
        <v>2302</v>
      </c>
      <c r="D630" s="5" t="s">
        <v>241</v>
      </c>
      <c r="E630" s="5" t="s">
        <v>241</v>
      </c>
      <c r="F630" s="5" t="s">
        <v>241</v>
      </c>
      <c r="G630" s="5" t="s">
        <v>282</v>
      </c>
      <c r="H630" s="5" t="s">
        <v>1560</v>
      </c>
      <c r="I630" s="7">
        <v>46286</v>
      </c>
      <c r="J630" s="5"/>
      <c r="L630" s="5" t="s">
        <v>2474</v>
      </c>
      <c r="N630" s="55"/>
    </row>
    <row r="631" spans="1:14" s="6" customFormat="1" hidden="1" x14ac:dyDescent="0.35">
      <c r="A631" s="5" t="s">
        <v>2303</v>
      </c>
      <c r="B631" s="5" t="s">
        <v>2304</v>
      </c>
      <c r="C631" s="5" t="s">
        <v>2305</v>
      </c>
      <c r="D631" s="5" t="s">
        <v>241</v>
      </c>
      <c r="E631" s="5" t="s">
        <v>241</v>
      </c>
      <c r="F631" s="5" t="s">
        <v>241</v>
      </c>
      <c r="G631" s="5" t="s">
        <v>282</v>
      </c>
      <c r="H631" s="5" t="s">
        <v>1892</v>
      </c>
      <c r="I631" s="7">
        <v>46286</v>
      </c>
      <c r="J631" s="5"/>
      <c r="L631" s="5" t="s">
        <v>2474</v>
      </c>
      <c r="N631" s="55"/>
    </row>
    <row r="632" spans="1:14" s="1" customFormat="1" hidden="1" x14ac:dyDescent="0.35">
      <c r="A632" s="5" t="s">
        <v>2306</v>
      </c>
      <c r="B632" s="5" t="s">
        <v>2307</v>
      </c>
      <c r="C632" s="5" t="s">
        <v>2308</v>
      </c>
      <c r="D632" s="5" t="s">
        <v>29</v>
      </c>
      <c r="E632" s="5" t="s">
        <v>395</v>
      </c>
      <c r="F632" s="2" t="s">
        <v>395</v>
      </c>
      <c r="G632" s="5"/>
      <c r="H632" s="5" t="s">
        <v>2309</v>
      </c>
      <c r="I632" s="7">
        <v>46288</v>
      </c>
      <c r="J632" s="6" t="s">
        <v>807</v>
      </c>
      <c r="K632" s="6" t="s">
        <v>33</v>
      </c>
      <c r="L632" s="5" t="s">
        <v>2472</v>
      </c>
      <c r="M632" s="25"/>
      <c r="N632" s="56"/>
    </row>
    <row r="633" spans="1:14" s="6" customFormat="1" hidden="1" x14ac:dyDescent="0.35">
      <c r="A633" s="5" t="s">
        <v>2310</v>
      </c>
      <c r="B633" s="5" t="s">
        <v>2311</v>
      </c>
      <c r="C633" s="5" t="s">
        <v>2312</v>
      </c>
      <c r="D633" s="5" t="s">
        <v>241</v>
      </c>
      <c r="E633" s="5" t="s">
        <v>241</v>
      </c>
      <c r="F633" s="5" t="s">
        <v>241</v>
      </c>
      <c r="G633" s="5" t="s">
        <v>138</v>
      </c>
      <c r="H633" s="5" t="s">
        <v>2313</v>
      </c>
      <c r="I633" s="7">
        <v>46288</v>
      </c>
      <c r="J633" s="5"/>
      <c r="L633" s="5" t="s">
        <v>2474</v>
      </c>
      <c r="N633" s="55"/>
    </row>
    <row r="634" spans="1:14" s="6" customFormat="1" hidden="1" x14ac:dyDescent="0.35">
      <c r="A634" s="5" t="s">
        <v>2314</v>
      </c>
      <c r="B634" s="5" t="s">
        <v>2315</v>
      </c>
      <c r="C634" s="5" t="s">
        <v>2316</v>
      </c>
      <c r="D634" s="5" t="s">
        <v>241</v>
      </c>
      <c r="E634" s="5" t="s">
        <v>241</v>
      </c>
      <c r="F634" s="5" t="s">
        <v>241</v>
      </c>
      <c r="G634" s="5" t="s">
        <v>702</v>
      </c>
      <c r="H634" s="5" t="s">
        <v>1592</v>
      </c>
      <c r="I634" s="7">
        <v>46293</v>
      </c>
      <c r="J634" s="5"/>
      <c r="L634" s="5" t="s">
        <v>2474</v>
      </c>
      <c r="N634" s="55"/>
    </row>
    <row r="635" spans="1:14" s="6" customFormat="1" hidden="1" x14ac:dyDescent="0.35">
      <c r="A635" s="5" t="s">
        <v>2317</v>
      </c>
      <c r="B635" s="5" t="s">
        <v>2318</v>
      </c>
      <c r="C635" s="5" t="s">
        <v>2319</v>
      </c>
      <c r="D635" s="5" t="s">
        <v>241</v>
      </c>
      <c r="E635" s="5" t="s">
        <v>241</v>
      </c>
      <c r="F635" s="5" t="s">
        <v>241</v>
      </c>
      <c r="G635" s="5" t="s">
        <v>702</v>
      </c>
      <c r="H635" s="5" t="s">
        <v>1592</v>
      </c>
      <c r="I635" s="7">
        <v>46293</v>
      </c>
      <c r="J635" s="5"/>
      <c r="L635" s="5" t="s">
        <v>2474</v>
      </c>
      <c r="N635" s="55"/>
    </row>
    <row r="636" spans="1:14" s="6" customFormat="1" hidden="1" x14ac:dyDescent="0.35">
      <c r="A636" s="5" t="s">
        <v>2320</v>
      </c>
      <c r="B636" s="5" t="s">
        <v>2321</v>
      </c>
      <c r="C636" s="5" t="s">
        <v>2322</v>
      </c>
      <c r="D636" s="5" t="s">
        <v>241</v>
      </c>
      <c r="E636" s="5" t="s">
        <v>241</v>
      </c>
      <c r="F636" s="5" t="s">
        <v>241</v>
      </c>
      <c r="G636" s="5" t="s">
        <v>702</v>
      </c>
      <c r="H636" s="5" t="s">
        <v>1592</v>
      </c>
      <c r="I636" s="7">
        <v>46293</v>
      </c>
      <c r="J636" s="5"/>
      <c r="L636" s="5" t="s">
        <v>2474</v>
      </c>
      <c r="N636" s="55"/>
    </row>
    <row r="637" spans="1:14" s="6" customFormat="1" hidden="1" x14ac:dyDescent="0.35">
      <c r="A637" s="5" t="s">
        <v>2323</v>
      </c>
      <c r="B637" s="5" t="s">
        <v>2324</v>
      </c>
      <c r="C637" s="5" t="s">
        <v>2325</v>
      </c>
      <c r="D637" s="5" t="s">
        <v>241</v>
      </c>
      <c r="E637" s="5" t="s">
        <v>241</v>
      </c>
      <c r="F637" s="5" t="s">
        <v>241</v>
      </c>
      <c r="G637" s="5" t="s">
        <v>702</v>
      </c>
      <c r="H637" s="5" t="s">
        <v>1592</v>
      </c>
      <c r="I637" s="7">
        <v>46293</v>
      </c>
      <c r="J637" s="5"/>
      <c r="L637" s="5" t="s">
        <v>2474</v>
      </c>
      <c r="N637" s="55"/>
    </row>
    <row r="638" spans="1:14" s="6" customFormat="1" hidden="1" x14ac:dyDescent="0.35">
      <c r="A638" s="5" t="s">
        <v>2326</v>
      </c>
      <c r="B638" s="5" t="s">
        <v>2327</v>
      </c>
      <c r="C638" s="5" t="s">
        <v>2328</v>
      </c>
      <c r="D638" s="5" t="s">
        <v>241</v>
      </c>
      <c r="E638" s="5" t="s">
        <v>241</v>
      </c>
      <c r="F638" s="5" t="s">
        <v>241</v>
      </c>
      <c r="G638" s="5" t="s">
        <v>702</v>
      </c>
      <c r="H638" s="5" t="s">
        <v>1592</v>
      </c>
      <c r="I638" s="7">
        <v>46293</v>
      </c>
      <c r="J638" s="5"/>
      <c r="L638" s="5" t="s">
        <v>2474</v>
      </c>
      <c r="N638" s="55"/>
    </row>
    <row r="639" spans="1:14" s="6" customFormat="1" hidden="1" x14ac:dyDescent="0.35">
      <c r="A639" s="5" t="s">
        <v>2329</v>
      </c>
      <c r="B639" s="5" t="s">
        <v>2330</v>
      </c>
      <c r="C639" s="5" t="s">
        <v>2331</v>
      </c>
      <c r="D639" s="5" t="s">
        <v>241</v>
      </c>
      <c r="E639" s="5" t="s">
        <v>241</v>
      </c>
      <c r="F639" s="5" t="s">
        <v>241</v>
      </c>
      <c r="G639" s="5" t="s">
        <v>702</v>
      </c>
      <c r="H639" s="5" t="s">
        <v>1592</v>
      </c>
      <c r="I639" s="7">
        <v>46293</v>
      </c>
      <c r="J639" s="5"/>
      <c r="L639" s="5" t="s">
        <v>2474</v>
      </c>
      <c r="N639" s="55"/>
    </row>
    <row r="640" spans="1:14" s="6" customFormat="1" hidden="1" x14ac:dyDescent="0.35">
      <c r="A640" s="5" t="s">
        <v>2332</v>
      </c>
      <c r="B640" s="5" t="s">
        <v>2333</v>
      </c>
      <c r="C640" s="5" t="s">
        <v>2334</v>
      </c>
      <c r="D640" s="5" t="s">
        <v>241</v>
      </c>
      <c r="E640" s="5" t="s">
        <v>241</v>
      </c>
      <c r="F640" s="5" t="s">
        <v>241</v>
      </c>
      <c r="G640" s="5" t="s">
        <v>702</v>
      </c>
      <c r="H640" s="5" t="s">
        <v>1592</v>
      </c>
      <c r="I640" s="7">
        <v>46293</v>
      </c>
      <c r="J640" s="5"/>
      <c r="L640" s="5" t="s">
        <v>2474</v>
      </c>
      <c r="N640" s="55"/>
    </row>
    <row r="641" spans="1:14" s="6" customFormat="1" hidden="1" x14ac:dyDescent="0.35">
      <c r="A641" s="5" t="s">
        <v>2335</v>
      </c>
      <c r="B641" s="5" t="s">
        <v>2336</v>
      </c>
      <c r="C641" s="5" t="s">
        <v>2337</v>
      </c>
      <c r="D641" s="5" t="s">
        <v>241</v>
      </c>
      <c r="E641" s="5" t="s">
        <v>241</v>
      </c>
      <c r="F641" s="5" t="s">
        <v>241</v>
      </c>
      <c r="G641" s="5" t="s">
        <v>702</v>
      </c>
      <c r="H641" s="5" t="s">
        <v>1592</v>
      </c>
      <c r="I641" s="7">
        <v>46293</v>
      </c>
      <c r="J641" s="5"/>
      <c r="L641" s="5" t="s">
        <v>2474</v>
      </c>
      <c r="N641" s="55"/>
    </row>
    <row r="642" spans="1:14" s="6" customFormat="1" hidden="1" x14ac:dyDescent="0.35">
      <c r="A642" s="5" t="s">
        <v>2338</v>
      </c>
      <c r="B642" s="5" t="s">
        <v>2339</v>
      </c>
      <c r="C642" s="5" t="s">
        <v>2340</v>
      </c>
      <c r="D642" s="5" t="s">
        <v>241</v>
      </c>
      <c r="E642" s="5" t="s">
        <v>241</v>
      </c>
      <c r="F642" s="5" t="s">
        <v>241</v>
      </c>
      <c r="G642" s="5" t="s">
        <v>702</v>
      </c>
      <c r="H642" s="5" t="s">
        <v>1592</v>
      </c>
      <c r="I642" s="7">
        <v>46293</v>
      </c>
      <c r="J642" s="5"/>
      <c r="L642" s="5" t="s">
        <v>2474</v>
      </c>
      <c r="N642" s="55"/>
    </row>
    <row r="643" spans="1:14" s="6" customFormat="1" hidden="1" x14ac:dyDescent="0.35">
      <c r="A643" s="5" t="s">
        <v>2341</v>
      </c>
      <c r="B643" s="5" t="s">
        <v>2342</v>
      </c>
      <c r="C643" s="5" t="s">
        <v>2343</v>
      </c>
      <c r="D643" s="5" t="s">
        <v>241</v>
      </c>
      <c r="E643" s="5" t="s">
        <v>241</v>
      </c>
      <c r="F643" s="5" t="s">
        <v>241</v>
      </c>
      <c r="G643" s="5" t="s">
        <v>702</v>
      </c>
      <c r="H643" s="5" t="s">
        <v>1592</v>
      </c>
      <c r="I643" s="7">
        <v>46293</v>
      </c>
      <c r="J643" s="5"/>
      <c r="L643" s="5" t="s">
        <v>2474</v>
      </c>
      <c r="N643" s="55"/>
    </row>
    <row r="644" spans="1:14" s="6" customFormat="1" hidden="1" x14ac:dyDescent="0.35">
      <c r="A644" s="5" t="s">
        <v>2344</v>
      </c>
      <c r="B644" s="5" t="s">
        <v>2345</v>
      </c>
      <c r="C644" s="5" t="s">
        <v>2346</v>
      </c>
      <c r="D644" s="5" t="s">
        <v>241</v>
      </c>
      <c r="E644" s="5" t="s">
        <v>241</v>
      </c>
      <c r="F644" s="5" t="s">
        <v>241</v>
      </c>
      <c r="G644" s="5" t="s">
        <v>702</v>
      </c>
      <c r="H644" s="5" t="s">
        <v>2347</v>
      </c>
      <c r="I644" s="7">
        <v>46293</v>
      </c>
      <c r="J644" s="5"/>
      <c r="L644" s="5" t="s">
        <v>2474</v>
      </c>
      <c r="N644" s="55"/>
    </row>
    <row r="645" spans="1:14" s="6" customFormat="1" hidden="1" x14ac:dyDescent="0.35">
      <c r="A645" s="5" t="s">
        <v>2348</v>
      </c>
      <c r="B645" s="5" t="s">
        <v>2349</v>
      </c>
      <c r="C645" s="5" t="s">
        <v>2350</v>
      </c>
      <c r="D645" s="5" t="s">
        <v>241</v>
      </c>
      <c r="E645" s="5" t="s">
        <v>241</v>
      </c>
      <c r="F645" s="5" t="s">
        <v>241</v>
      </c>
      <c r="G645" s="5" t="s">
        <v>702</v>
      </c>
      <c r="H645" s="5" t="s">
        <v>1439</v>
      </c>
      <c r="I645" s="7">
        <v>46293</v>
      </c>
      <c r="J645" s="5"/>
      <c r="L645" s="5" t="s">
        <v>2474</v>
      </c>
      <c r="N645" s="55"/>
    </row>
    <row r="646" spans="1:14" s="6" customFormat="1" hidden="1" x14ac:dyDescent="0.35">
      <c r="A646" s="5" t="s">
        <v>2351</v>
      </c>
      <c r="B646" s="5" t="s">
        <v>2352</v>
      </c>
      <c r="C646" s="5" t="s">
        <v>2353</v>
      </c>
      <c r="D646" s="5" t="s">
        <v>241</v>
      </c>
      <c r="E646" s="5" t="s">
        <v>241</v>
      </c>
      <c r="F646" s="5" t="s">
        <v>241</v>
      </c>
      <c r="G646" s="5" t="s">
        <v>63</v>
      </c>
      <c r="H646" s="5" t="s">
        <v>2354</v>
      </c>
      <c r="I646" s="7">
        <v>46293</v>
      </c>
      <c r="J646" s="5"/>
      <c r="L646" s="5" t="s">
        <v>2474</v>
      </c>
      <c r="N646" s="55"/>
    </row>
    <row r="647" spans="1:14" s="6" customFormat="1" hidden="1" x14ac:dyDescent="0.35">
      <c r="A647" s="5" t="s">
        <v>2355</v>
      </c>
      <c r="B647" s="5" t="s">
        <v>2356</v>
      </c>
      <c r="C647" s="5" t="s">
        <v>2357</v>
      </c>
      <c r="D647" s="5" t="s">
        <v>241</v>
      </c>
      <c r="E647" s="5" t="s">
        <v>241</v>
      </c>
      <c r="F647" s="5" t="s">
        <v>241</v>
      </c>
      <c r="G647" s="5" t="s">
        <v>282</v>
      </c>
      <c r="H647" s="5" t="s">
        <v>1892</v>
      </c>
      <c r="I647" s="7">
        <v>46293</v>
      </c>
      <c r="J647" s="5"/>
      <c r="L647" s="5" t="s">
        <v>2474</v>
      </c>
      <c r="N647" s="55"/>
    </row>
    <row r="648" spans="1:14" s="6" customFormat="1" hidden="1" x14ac:dyDescent="0.35">
      <c r="A648" s="5" t="s">
        <v>2358</v>
      </c>
      <c r="B648" s="5" t="s">
        <v>2359</v>
      </c>
      <c r="C648" s="5" t="s">
        <v>2360</v>
      </c>
      <c r="D648" s="5" t="s">
        <v>241</v>
      </c>
      <c r="E648" s="5" t="s">
        <v>241</v>
      </c>
      <c r="F648" s="5" t="s">
        <v>241</v>
      </c>
      <c r="G648" s="5" t="s">
        <v>282</v>
      </c>
      <c r="H648" s="5" t="s">
        <v>1892</v>
      </c>
      <c r="I648" s="7">
        <v>46293</v>
      </c>
      <c r="J648" s="5"/>
      <c r="L648" s="5" t="s">
        <v>2474</v>
      </c>
      <c r="N648" s="55"/>
    </row>
    <row r="649" spans="1:14" s="6" customFormat="1" hidden="1" x14ac:dyDescent="0.35">
      <c r="A649" s="5" t="s">
        <v>2361</v>
      </c>
      <c r="B649" s="5" t="s">
        <v>2362</v>
      </c>
      <c r="C649" s="5" t="s">
        <v>2363</v>
      </c>
      <c r="D649" s="5" t="s">
        <v>241</v>
      </c>
      <c r="E649" s="5" t="s">
        <v>241</v>
      </c>
      <c r="F649" s="5" t="s">
        <v>241</v>
      </c>
      <c r="G649" s="5" t="s">
        <v>282</v>
      </c>
      <c r="H649" s="5" t="s">
        <v>1560</v>
      </c>
      <c r="I649" s="7">
        <v>46293</v>
      </c>
      <c r="J649" s="5"/>
      <c r="L649" s="5" t="s">
        <v>2474</v>
      </c>
      <c r="N649" s="55"/>
    </row>
    <row r="650" spans="1:14" s="6" customFormat="1" hidden="1" x14ac:dyDescent="0.35">
      <c r="A650" s="5" t="s">
        <v>2364</v>
      </c>
      <c r="B650" s="5" t="s">
        <v>2365</v>
      </c>
      <c r="C650" s="5" t="s">
        <v>2366</v>
      </c>
      <c r="D650" s="5" t="s">
        <v>241</v>
      </c>
      <c r="E650" s="5" t="s">
        <v>241</v>
      </c>
      <c r="F650" s="5" t="s">
        <v>241</v>
      </c>
      <c r="G650" s="5" t="s">
        <v>138</v>
      </c>
      <c r="H650" s="5" t="s">
        <v>2367</v>
      </c>
      <c r="I650" s="7">
        <v>46293</v>
      </c>
      <c r="J650" s="5"/>
      <c r="L650" s="5" t="s">
        <v>2474</v>
      </c>
      <c r="N650" s="55"/>
    </row>
    <row r="651" spans="1:14" s="1" customFormat="1" hidden="1" x14ac:dyDescent="0.35">
      <c r="A651" s="5" t="s">
        <v>2368</v>
      </c>
      <c r="B651" s="5" t="s">
        <v>2369</v>
      </c>
      <c r="C651" s="5" t="s">
        <v>2370</v>
      </c>
      <c r="D651" s="5" t="s">
        <v>29</v>
      </c>
      <c r="E651" s="5" t="s">
        <v>395</v>
      </c>
      <c r="F651" s="2" t="s">
        <v>395</v>
      </c>
      <c r="G651" s="6"/>
      <c r="H651" s="5" t="s">
        <v>2371</v>
      </c>
      <c r="I651" s="7">
        <v>46300</v>
      </c>
      <c r="J651" s="6" t="s">
        <v>1171</v>
      </c>
      <c r="K651" s="6" t="s">
        <v>33</v>
      </c>
      <c r="L651" s="25" t="s">
        <v>2475</v>
      </c>
      <c r="M651" s="25"/>
      <c r="N651" s="56"/>
    </row>
    <row r="652" spans="1:14" s="6" customFormat="1" hidden="1" x14ac:dyDescent="0.35">
      <c r="A652" s="5" t="s">
        <v>2372</v>
      </c>
      <c r="B652" s="5" t="s">
        <v>2373</v>
      </c>
      <c r="C652" s="5" t="s">
        <v>2374</v>
      </c>
      <c r="D652" s="5" t="s">
        <v>241</v>
      </c>
      <c r="E652" s="5" t="s">
        <v>241</v>
      </c>
      <c r="F652" s="5" t="s">
        <v>241</v>
      </c>
      <c r="G652" s="5" t="s">
        <v>702</v>
      </c>
      <c r="H652" s="5" t="s">
        <v>1439</v>
      </c>
      <c r="I652" s="7">
        <v>46300</v>
      </c>
      <c r="J652" s="5"/>
      <c r="L652" s="5" t="s">
        <v>2474</v>
      </c>
      <c r="N652" s="55"/>
    </row>
    <row r="653" spans="1:14" s="6" customFormat="1" hidden="1" x14ac:dyDescent="0.35">
      <c r="A653" s="5" t="s">
        <v>2375</v>
      </c>
      <c r="B653" s="5" t="s">
        <v>2376</v>
      </c>
      <c r="C653" s="5" t="s">
        <v>2377</v>
      </c>
      <c r="D653" s="5" t="s">
        <v>241</v>
      </c>
      <c r="E653" s="5" t="s">
        <v>241</v>
      </c>
      <c r="F653" s="5" t="s">
        <v>241</v>
      </c>
      <c r="G653" s="5" t="s">
        <v>702</v>
      </c>
      <c r="H653" s="5" t="s">
        <v>2378</v>
      </c>
      <c r="I653" s="7">
        <v>46300</v>
      </c>
      <c r="J653" s="5"/>
      <c r="L653" s="5" t="s">
        <v>2474</v>
      </c>
      <c r="N653" s="55"/>
    </row>
    <row r="654" spans="1:14" s="6" customFormat="1" hidden="1" x14ac:dyDescent="0.35">
      <c r="A654" s="5" t="s">
        <v>2379</v>
      </c>
      <c r="B654" s="5" t="s">
        <v>2380</v>
      </c>
      <c r="C654" s="5" t="s">
        <v>2381</v>
      </c>
      <c r="D654" s="5" t="s">
        <v>241</v>
      </c>
      <c r="E654" s="5" t="s">
        <v>241</v>
      </c>
      <c r="F654" s="5" t="s">
        <v>241</v>
      </c>
      <c r="G654" s="5" t="s">
        <v>702</v>
      </c>
      <c r="H654" s="5" t="s">
        <v>1592</v>
      </c>
      <c r="I654" s="7">
        <v>46300</v>
      </c>
      <c r="J654" s="5"/>
      <c r="L654" s="5" t="s">
        <v>2474</v>
      </c>
      <c r="N654" s="55"/>
    </row>
    <row r="655" spans="1:14" s="6" customFormat="1" hidden="1" x14ac:dyDescent="0.35">
      <c r="A655" s="5" t="s">
        <v>2382</v>
      </c>
      <c r="B655" s="5" t="s">
        <v>2383</v>
      </c>
      <c r="C655" s="5" t="s">
        <v>2384</v>
      </c>
      <c r="D655" s="5" t="s">
        <v>241</v>
      </c>
      <c r="E655" s="5" t="s">
        <v>241</v>
      </c>
      <c r="F655" s="5" t="s">
        <v>241</v>
      </c>
      <c r="G655" s="5" t="s">
        <v>702</v>
      </c>
      <c r="H655" s="5" t="s">
        <v>1592</v>
      </c>
      <c r="I655" s="7">
        <v>46300</v>
      </c>
      <c r="J655" s="5"/>
      <c r="L655" s="5" t="s">
        <v>2474</v>
      </c>
      <c r="N655" s="55"/>
    </row>
    <row r="656" spans="1:14" s="1" customFormat="1" hidden="1" x14ac:dyDescent="0.35">
      <c r="A656" s="5" t="s">
        <v>2385</v>
      </c>
      <c r="B656" s="5" t="s">
        <v>2386</v>
      </c>
      <c r="C656" s="5" t="s">
        <v>2387</v>
      </c>
      <c r="D656" s="5" t="s">
        <v>29</v>
      </c>
      <c r="E656" s="5" t="s">
        <v>395</v>
      </c>
      <c r="F656" s="2" t="s">
        <v>395</v>
      </c>
      <c r="G656" s="5"/>
      <c r="H656" s="5" t="s">
        <v>1380</v>
      </c>
      <c r="I656" s="7">
        <v>46304</v>
      </c>
      <c r="J656" s="6" t="s">
        <v>807</v>
      </c>
      <c r="K656" s="5" t="s">
        <v>33</v>
      </c>
      <c r="L656" s="5" t="s">
        <v>2472</v>
      </c>
      <c r="M656" s="25"/>
      <c r="N656" s="56"/>
    </row>
    <row r="657" spans="1:14" s="6" customFormat="1" hidden="1" x14ac:dyDescent="0.35">
      <c r="A657" s="5" t="s">
        <v>2388</v>
      </c>
      <c r="B657" s="5" t="s">
        <v>2389</v>
      </c>
      <c r="C657" s="5" t="s">
        <v>2390</v>
      </c>
      <c r="D657" s="5" t="s">
        <v>241</v>
      </c>
      <c r="E657" s="5" t="s">
        <v>241</v>
      </c>
      <c r="F657" s="5" t="s">
        <v>241</v>
      </c>
      <c r="G657" s="5" t="s">
        <v>282</v>
      </c>
      <c r="H657" s="5" t="s">
        <v>2391</v>
      </c>
      <c r="I657" s="7">
        <v>46307</v>
      </c>
      <c r="J657" s="5"/>
      <c r="L657" s="5" t="s">
        <v>2474</v>
      </c>
      <c r="N657" s="55"/>
    </row>
    <row r="658" spans="1:14" s="6" customFormat="1" hidden="1" x14ac:dyDescent="0.35">
      <c r="A658" s="5" t="s">
        <v>2392</v>
      </c>
      <c r="B658" s="5" t="s">
        <v>2393</v>
      </c>
      <c r="C658" s="5" t="s">
        <v>2394</v>
      </c>
      <c r="D658" s="5" t="s">
        <v>241</v>
      </c>
      <c r="E658" s="5" t="s">
        <v>241</v>
      </c>
      <c r="F658" s="5" t="s">
        <v>241</v>
      </c>
      <c r="G658" s="5" t="s">
        <v>282</v>
      </c>
      <c r="H658" s="5" t="s">
        <v>2391</v>
      </c>
      <c r="I658" s="7">
        <v>46307</v>
      </c>
      <c r="J658" s="5"/>
      <c r="L658" s="5" t="s">
        <v>2474</v>
      </c>
      <c r="N658" s="55"/>
    </row>
    <row r="659" spans="1:14" s="6" customFormat="1" hidden="1" x14ac:dyDescent="0.35">
      <c r="A659" s="5" t="s">
        <v>2395</v>
      </c>
      <c r="B659" s="5" t="s">
        <v>2396</v>
      </c>
      <c r="C659" s="5" t="s">
        <v>2397</v>
      </c>
      <c r="D659" s="5" t="s">
        <v>241</v>
      </c>
      <c r="E659" s="5" t="s">
        <v>241</v>
      </c>
      <c r="F659" s="5" t="s">
        <v>241</v>
      </c>
      <c r="G659" s="5" t="s">
        <v>282</v>
      </c>
      <c r="H659" s="5" t="s">
        <v>2391</v>
      </c>
      <c r="I659" s="7">
        <v>46308</v>
      </c>
      <c r="J659" s="5"/>
      <c r="L659" s="5" t="s">
        <v>2474</v>
      </c>
      <c r="N659" s="55"/>
    </row>
    <row r="660" spans="1:14" s="6" customFormat="1" hidden="1" x14ac:dyDescent="0.35">
      <c r="A660" s="5" t="s">
        <v>2398</v>
      </c>
      <c r="B660" s="5" t="s">
        <v>2399</v>
      </c>
      <c r="C660" s="5" t="s">
        <v>2400</v>
      </c>
      <c r="D660" s="5" t="s">
        <v>241</v>
      </c>
      <c r="E660" s="5" t="s">
        <v>241</v>
      </c>
      <c r="F660" s="5" t="s">
        <v>241</v>
      </c>
      <c r="G660" s="5" t="s">
        <v>702</v>
      </c>
      <c r="H660" s="5" t="s">
        <v>1592</v>
      </c>
      <c r="I660" s="7">
        <v>46307</v>
      </c>
      <c r="J660" s="5"/>
      <c r="L660" s="5" t="s">
        <v>2474</v>
      </c>
      <c r="N660" s="55"/>
    </row>
    <row r="661" spans="1:14" s="6" customFormat="1" hidden="1" x14ac:dyDescent="0.35">
      <c r="A661" s="5" t="s">
        <v>2401</v>
      </c>
      <c r="B661" s="5" t="s">
        <v>2402</v>
      </c>
      <c r="C661" s="5" t="s">
        <v>2403</v>
      </c>
      <c r="D661" s="5" t="s">
        <v>241</v>
      </c>
      <c r="E661" s="5" t="s">
        <v>241</v>
      </c>
      <c r="F661" s="5" t="s">
        <v>241</v>
      </c>
      <c r="G661" s="5" t="s">
        <v>702</v>
      </c>
      <c r="H661" s="5" t="s">
        <v>1592</v>
      </c>
      <c r="I661" s="7">
        <v>46308</v>
      </c>
      <c r="J661" s="5"/>
      <c r="L661" s="5" t="s">
        <v>2474</v>
      </c>
      <c r="N661" s="55"/>
    </row>
    <row r="662" spans="1:14" s="1" customFormat="1" hidden="1" x14ac:dyDescent="0.35">
      <c r="A662" s="5" t="s">
        <v>2404</v>
      </c>
      <c r="B662" s="5" t="s">
        <v>2405</v>
      </c>
      <c r="C662" s="5" t="s">
        <v>2406</v>
      </c>
      <c r="D662" s="5" t="s">
        <v>29</v>
      </c>
      <c r="E662" s="5" t="s">
        <v>395</v>
      </c>
      <c r="F662" s="2" t="s">
        <v>395</v>
      </c>
      <c r="G662" s="6"/>
      <c r="H662" s="5" t="s">
        <v>2407</v>
      </c>
      <c r="I662" s="7">
        <v>46094</v>
      </c>
      <c r="J662" s="6" t="s">
        <v>3623</v>
      </c>
      <c r="K662" s="6" t="s">
        <v>18</v>
      </c>
      <c r="L662" s="2" t="s">
        <v>2469</v>
      </c>
      <c r="M662" s="25"/>
      <c r="N662" s="56"/>
    </row>
    <row r="663" spans="1:14" s="1" customFormat="1" hidden="1" x14ac:dyDescent="0.35">
      <c r="A663" s="5" t="s">
        <v>2408</v>
      </c>
      <c r="B663" s="5" t="s">
        <v>2409</v>
      </c>
      <c r="C663" s="5" t="s">
        <v>2410</v>
      </c>
      <c r="D663" s="5" t="s">
        <v>29</v>
      </c>
      <c r="E663" s="5" t="s">
        <v>395</v>
      </c>
      <c r="F663" s="2" t="s">
        <v>395</v>
      </c>
      <c r="G663" s="6"/>
      <c r="H663" s="5" t="s">
        <v>2407</v>
      </c>
      <c r="I663" s="7">
        <v>46094</v>
      </c>
      <c r="J663" s="6" t="s">
        <v>3623</v>
      </c>
      <c r="K663" s="6" t="s">
        <v>18</v>
      </c>
      <c r="L663" s="2" t="s">
        <v>2469</v>
      </c>
      <c r="M663" s="25"/>
      <c r="N663" s="56"/>
    </row>
    <row r="664" spans="1:14" s="1" customFormat="1" hidden="1" x14ac:dyDescent="0.35">
      <c r="A664" s="5" t="s">
        <v>2411</v>
      </c>
      <c r="B664" s="5" t="s">
        <v>2412</v>
      </c>
      <c r="C664" s="5" t="s">
        <v>2413</v>
      </c>
      <c r="D664" s="5" t="s">
        <v>29</v>
      </c>
      <c r="E664" s="5" t="s">
        <v>395</v>
      </c>
      <c r="F664" s="2" t="s">
        <v>395</v>
      </c>
      <c r="G664" s="6"/>
      <c r="H664" s="5" t="s">
        <v>2407</v>
      </c>
      <c r="I664" s="7">
        <v>46094</v>
      </c>
      <c r="J664" s="6" t="s">
        <v>3623</v>
      </c>
      <c r="K664" s="6" t="s">
        <v>18</v>
      </c>
      <c r="L664" s="2" t="s">
        <v>2469</v>
      </c>
      <c r="M664" s="25"/>
      <c r="N664" s="56"/>
    </row>
    <row r="665" spans="1:14" s="1" customFormat="1" hidden="1" x14ac:dyDescent="0.35">
      <c r="A665" s="5" t="s">
        <v>2414</v>
      </c>
      <c r="B665" s="5" t="s">
        <v>2415</v>
      </c>
      <c r="C665" s="5" t="s">
        <v>2416</v>
      </c>
      <c r="D665" s="5" t="s">
        <v>29</v>
      </c>
      <c r="E665" s="5" t="s">
        <v>395</v>
      </c>
      <c r="F665" s="2" t="s">
        <v>395</v>
      </c>
      <c r="G665" s="6"/>
      <c r="H665" s="5" t="s">
        <v>2407</v>
      </c>
      <c r="I665" s="7">
        <v>46094</v>
      </c>
      <c r="J665" s="6" t="s">
        <v>807</v>
      </c>
      <c r="K665" s="6" t="s">
        <v>33</v>
      </c>
      <c r="L665" s="2" t="s">
        <v>2469</v>
      </c>
      <c r="M665" s="25"/>
      <c r="N665" s="56"/>
    </row>
    <row r="666" spans="1:14" s="1" customFormat="1" hidden="1" x14ac:dyDescent="0.35">
      <c r="A666" s="5" t="s">
        <v>2417</v>
      </c>
      <c r="B666" s="5" t="s">
        <v>2418</v>
      </c>
      <c r="C666" s="5" t="s">
        <v>2419</v>
      </c>
      <c r="D666" s="5" t="s">
        <v>29</v>
      </c>
      <c r="E666" s="5" t="s">
        <v>395</v>
      </c>
      <c r="F666" s="2" t="s">
        <v>395</v>
      </c>
      <c r="G666" s="6"/>
      <c r="H666" s="5" t="s">
        <v>2407</v>
      </c>
      <c r="I666" s="7">
        <v>46094</v>
      </c>
      <c r="J666" s="6" t="s">
        <v>3623</v>
      </c>
      <c r="K666" s="6" t="s">
        <v>18</v>
      </c>
      <c r="L666" s="2" t="s">
        <v>2469</v>
      </c>
      <c r="M666" s="25"/>
      <c r="N666" s="56"/>
    </row>
    <row r="667" spans="1:14" s="1" customFormat="1" hidden="1" x14ac:dyDescent="0.35">
      <c r="A667" s="5" t="s">
        <v>2420</v>
      </c>
      <c r="B667" s="5" t="s">
        <v>2421</v>
      </c>
      <c r="C667" s="5" t="s">
        <v>2422</v>
      </c>
      <c r="D667" s="5" t="s">
        <v>29</v>
      </c>
      <c r="E667" s="5" t="s">
        <v>395</v>
      </c>
      <c r="F667" s="2" t="s">
        <v>395</v>
      </c>
      <c r="G667" s="6"/>
      <c r="H667" s="5" t="s">
        <v>2407</v>
      </c>
      <c r="I667" s="7">
        <v>46094</v>
      </c>
      <c r="J667" s="6" t="s">
        <v>56</v>
      </c>
      <c r="K667" s="6" t="s">
        <v>18</v>
      </c>
      <c r="L667" s="2" t="s">
        <v>2469</v>
      </c>
      <c r="M667" s="25"/>
      <c r="N667" s="56"/>
    </row>
    <row r="668" spans="1:14" s="1" customFormat="1" hidden="1" x14ac:dyDescent="0.35">
      <c r="A668" s="5" t="s">
        <v>2423</v>
      </c>
      <c r="B668" s="5" t="s">
        <v>2424</v>
      </c>
      <c r="C668" s="5" t="s">
        <v>2425</v>
      </c>
      <c r="D668" s="5" t="s">
        <v>29</v>
      </c>
      <c r="E668" s="5" t="s">
        <v>395</v>
      </c>
      <c r="F668" s="2" t="s">
        <v>395</v>
      </c>
      <c r="G668" s="6"/>
      <c r="H668" s="5" t="s">
        <v>2407</v>
      </c>
      <c r="I668" s="7">
        <v>46094</v>
      </c>
      <c r="J668" s="6" t="s">
        <v>807</v>
      </c>
      <c r="K668" s="6" t="s">
        <v>33</v>
      </c>
      <c r="L668" s="2" t="s">
        <v>2469</v>
      </c>
      <c r="M668" s="25"/>
      <c r="N668" s="56"/>
    </row>
    <row r="669" spans="1:14" s="1" customFormat="1" hidden="1" x14ac:dyDescent="0.35">
      <c r="A669" s="5" t="s">
        <v>2426</v>
      </c>
      <c r="B669" s="5" t="s">
        <v>2427</v>
      </c>
      <c r="C669" s="5" t="s">
        <v>2428</v>
      </c>
      <c r="D669" s="5" t="s">
        <v>29</v>
      </c>
      <c r="E669" s="5" t="s">
        <v>395</v>
      </c>
      <c r="F669" s="2" t="s">
        <v>395</v>
      </c>
      <c r="G669" s="6"/>
      <c r="H669" s="5" t="s">
        <v>2407</v>
      </c>
      <c r="I669" s="7">
        <v>46094</v>
      </c>
      <c r="J669" s="6" t="s">
        <v>3623</v>
      </c>
      <c r="K669" s="6" t="s">
        <v>18</v>
      </c>
      <c r="L669" s="2" t="s">
        <v>2469</v>
      </c>
      <c r="M669" s="25"/>
      <c r="N669" s="56"/>
    </row>
    <row r="670" spans="1:14" s="1" customFormat="1" hidden="1" x14ac:dyDescent="0.35">
      <c r="A670" s="5" t="s">
        <v>2429</v>
      </c>
      <c r="B670" s="5" t="s">
        <v>2430</v>
      </c>
      <c r="C670" s="5" t="s">
        <v>2431</v>
      </c>
      <c r="D670" s="5" t="s">
        <v>29</v>
      </c>
      <c r="E670" s="5" t="s">
        <v>395</v>
      </c>
      <c r="F670" s="2" t="s">
        <v>395</v>
      </c>
      <c r="G670" s="6"/>
      <c r="H670" s="5" t="s">
        <v>2407</v>
      </c>
      <c r="I670" s="7">
        <v>46094</v>
      </c>
      <c r="J670" s="6" t="s">
        <v>56</v>
      </c>
      <c r="K670" s="6" t="s">
        <v>18</v>
      </c>
      <c r="L670" s="2" t="s">
        <v>2469</v>
      </c>
      <c r="M670" s="25"/>
      <c r="N670" s="56"/>
    </row>
    <row r="671" spans="1:14" s="1" customFormat="1" hidden="1" x14ac:dyDescent="0.35">
      <c r="A671" s="5" t="s">
        <v>2432</v>
      </c>
      <c r="B671" s="5" t="s">
        <v>2433</v>
      </c>
      <c r="C671" s="5" t="s">
        <v>2434</v>
      </c>
      <c r="D671" s="5" t="s">
        <v>29</v>
      </c>
      <c r="E671" s="5" t="s">
        <v>395</v>
      </c>
      <c r="F671" s="2" t="s">
        <v>395</v>
      </c>
      <c r="G671" s="6"/>
      <c r="H671" s="5" t="s">
        <v>2407</v>
      </c>
      <c r="I671" s="7">
        <v>46094</v>
      </c>
      <c r="J671" s="6" t="s">
        <v>807</v>
      </c>
      <c r="K671" s="6" t="s">
        <v>33</v>
      </c>
      <c r="L671" s="2" t="s">
        <v>2469</v>
      </c>
      <c r="M671" s="25"/>
      <c r="N671" s="56"/>
    </row>
    <row r="672" spans="1:14" s="1" customFormat="1" hidden="1" x14ac:dyDescent="0.35">
      <c r="A672" s="5" t="s">
        <v>2435</v>
      </c>
      <c r="B672" s="5" t="s">
        <v>2436</v>
      </c>
      <c r="C672" s="5" t="s">
        <v>2437</v>
      </c>
      <c r="D672" s="5" t="s">
        <v>29</v>
      </c>
      <c r="E672" s="5" t="s">
        <v>395</v>
      </c>
      <c r="F672" s="2" t="s">
        <v>395</v>
      </c>
      <c r="G672" s="6"/>
      <c r="H672" s="5" t="s">
        <v>2407</v>
      </c>
      <c r="I672" s="7">
        <v>46094</v>
      </c>
      <c r="J672" s="6" t="s">
        <v>56</v>
      </c>
      <c r="K672" s="6" t="s">
        <v>18</v>
      </c>
      <c r="L672" s="2" t="s">
        <v>2469</v>
      </c>
      <c r="M672" s="25"/>
      <c r="N672" s="56"/>
    </row>
    <row r="673" spans="1:14" s="1" customFormat="1" hidden="1" x14ac:dyDescent="0.35">
      <c r="A673" s="5" t="s">
        <v>2438</v>
      </c>
      <c r="B673" s="5" t="s">
        <v>2439</v>
      </c>
      <c r="C673" s="5" t="s">
        <v>2440</v>
      </c>
      <c r="D673" s="5" t="s">
        <v>29</v>
      </c>
      <c r="E673" s="5" t="s">
        <v>395</v>
      </c>
      <c r="F673" s="2" t="s">
        <v>395</v>
      </c>
      <c r="G673" s="6"/>
      <c r="H673" s="5" t="s">
        <v>2407</v>
      </c>
      <c r="I673" s="7">
        <v>46094</v>
      </c>
      <c r="J673" s="6" t="s">
        <v>807</v>
      </c>
      <c r="K673" s="6" t="s">
        <v>33</v>
      </c>
      <c r="L673" s="2" t="s">
        <v>2469</v>
      </c>
      <c r="M673" s="25"/>
      <c r="N673" s="56"/>
    </row>
    <row r="674" spans="1:14" s="1" customFormat="1" hidden="1" x14ac:dyDescent="0.35">
      <c r="A674" s="5" t="s">
        <v>2441</v>
      </c>
      <c r="B674" s="5" t="s">
        <v>2442</v>
      </c>
      <c r="C674" s="5" t="s">
        <v>2443</v>
      </c>
      <c r="D674" s="5" t="s">
        <v>29</v>
      </c>
      <c r="E674" s="5" t="s">
        <v>395</v>
      </c>
      <c r="F674" s="2" t="s">
        <v>395</v>
      </c>
      <c r="G674" s="6"/>
      <c r="H674" s="5" t="s">
        <v>2407</v>
      </c>
      <c r="I674" s="7">
        <v>46094</v>
      </c>
      <c r="J674" s="6" t="s">
        <v>56</v>
      </c>
      <c r="K674" s="6" t="s">
        <v>33</v>
      </c>
      <c r="L674" s="2" t="s">
        <v>2469</v>
      </c>
      <c r="M674" s="25"/>
      <c r="N674" s="56"/>
    </row>
    <row r="675" spans="1:14" s="1" customFormat="1" hidden="1" x14ac:dyDescent="0.35">
      <c r="A675" s="5" t="s">
        <v>2444</v>
      </c>
      <c r="B675" s="5" t="s">
        <v>2445</v>
      </c>
      <c r="C675" s="5" t="s">
        <v>2446</v>
      </c>
      <c r="D675" s="5" t="s">
        <v>29</v>
      </c>
      <c r="E675" s="5" t="s">
        <v>395</v>
      </c>
      <c r="F675" s="2" t="s">
        <v>395</v>
      </c>
      <c r="G675" s="6"/>
      <c r="H675" s="5" t="s">
        <v>2407</v>
      </c>
      <c r="I675" s="7">
        <v>46094</v>
      </c>
      <c r="J675" s="6" t="s">
        <v>807</v>
      </c>
      <c r="K675" s="6" t="s">
        <v>33</v>
      </c>
      <c r="L675" s="2" t="s">
        <v>2469</v>
      </c>
      <c r="M675" s="25"/>
      <c r="N675" s="56"/>
    </row>
    <row r="676" spans="1:14" s="1" customFormat="1" hidden="1" x14ac:dyDescent="0.35">
      <c r="A676" s="5" t="s">
        <v>2447</v>
      </c>
      <c r="B676" s="5" t="s">
        <v>2448</v>
      </c>
      <c r="C676" s="5" t="s">
        <v>2449</v>
      </c>
      <c r="D676" s="5" t="s">
        <v>29</v>
      </c>
      <c r="E676" s="5" t="s">
        <v>395</v>
      </c>
      <c r="F676" s="2" t="s">
        <v>395</v>
      </c>
      <c r="G676" s="6"/>
      <c r="H676" s="5" t="s">
        <v>2407</v>
      </c>
      <c r="I676" s="7">
        <v>46094</v>
      </c>
      <c r="J676" s="6" t="s">
        <v>3623</v>
      </c>
      <c r="K676" s="6" t="s">
        <v>18</v>
      </c>
      <c r="L676" s="2" t="s">
        <v>2469</v>
      </c>
      <c r="M676" s="25"/>
      <c r="N676" s="56"/>
    </row>
    <row r="677" spans="1:14" s="1" customFormat="1" x14ac:dyDescent="0.35">
      <c r="A677" s="5" t="s">
        <v>2450</v>
      </c>
      <c r="B677" s="5" t="s">
        <v>2451</v>
      </c>
      <c r="C677" s="5" t="s">
        <v>2452</v>
      </c>
      <c r="D677" s="5" t="s">
        <v>29</v>
      </c>
      <c r="E677" s="5" t="s">
        <v>395</v>
      </c>
      <c r="F677" s="2" t="s">
        <v>395</v>
      </c>
      <c r="G677" s="6"/>
      <c r="H677" s="5" t="s">
        <v>2453</v>
      </c>
      <c r="I677" s="7">
        <v>45985</v>
      </c>
      <c r="J677" s="6" t="s">
        <v>56</v>
      </c>
      <c r="K677" s="6" t="s">
        <v>18</v>
      </c>
      <c r="L677" s="25" t="s">
        <v>2453</v>
      </c>
      <c r="M677" s="25"/>
      <c r="N677" s="56"/>
    </row>
    <row r="678" spans="1:14" s="1" customFormat="1" x14ac:dyDescent="0.35">
      <c r="A678" s="5" t="s">
        <v>2454</v>
      </c>
      <c r="B678" s="2" t="s">
        <v>2455</v>
      </c>
      <c r="C678" s="2" t="s">
        <v>2456</v>
      </c>
      <c r="D678" s="2" t="s">
        <v>20</v>
      </c>
      <c r="E678" s="2" t="s">
        <v>20</v>
      </c>
      <c r="F678" s="2" t="s">
        <v>20</v>
      </c>
      <c r="G678" s="2" t="s">
        <v>157</v>
      </c>
      <c r="H678" s="2" t="s">
        <v>2457</v>
      </c>
      <c r="I678" s="24">
        <v>46188</v>
      </c>
      <c r="J678" s="2"/>
      <c r="K678" s="25"/>
      <c r="L678" s="2" t="s">
        <v>2453</v>
      </c>
      <c r="M678" s="25"/>
      <c r="N678" s="56"/>
    </row>
    <row r="679" spans="1:14" s="1" customFormat="1" x14ac:dyDescent="0.35">
      <c r="A679" s="5" t="s">
        <v>2462</v>
      </c>
      <c r="B679" s="5" t="s">
        <v>2463</v>
      </c>
      <c r="C679" s="5" t="s">
        <v>2464</v>
      </c>
      <c r="D679" s="5" t="s">
        <v>29</v>
      </c>
      <c r="E679" s="5" t="s">
        <v>395</v>
      </c>
      <c r="F679" s="2" t="s">
        <v>395</v>
      </c>
      <c r="G679" s="6"/>
      <c r="H679" s="5" t="s">
        <v>2461</v>
      </c>
      <c r="I679" s="7">
        <v>46267</v>
      </c>
      <c r="J679" s="6" t="s">
        <v>56</v>
      </c>
      <c r="K679" s="6" t="s">
        <v>18</v>
      </c>
      <c r="L679" s="25" t="s">
        <v>2453</v>
      </c>
      <c r="M679" s="25"/>
      <c r="N679" s="56"/>
    </row>
    <row r="680" spans="1:14" s="1" customFormat="1" x14ac:dyDescent="0.35">
      <c r="A680" s="5" t="s">
        <v>2465</v>
      </c>
      <c r="B680" s="2" t="s">
        <v>2466</v>
      </c>
      <c r="C680" s="2" t="s">
        <v>2467</v>
      </c>
      <c r="D680" s="2" t="s">
        <v>20</v>
      </c>
      <c r="E680" s="2" t="s">
        <v>20</v>
      </c>
      <c r="F680" s="2" t="s">
        <v>20</v>
      </c>
      <c r="G680" s="2" t="s">
        <v>1544</v>
      </c>
      <c r="H680" s="2" t="s">
        <v>2468</v>
      </c>
      <c r="I680" s="24">
        <v>46293</v>
      </c>
      <c r="J680" s="2"/>
      <c r="K680" s="25"/>
      <c r="L680" s="2" t="s">
        <v>2453</v>
      </c>
      <c r="M680" s="25"/>
      <c r="N680" s="56"/>
    </row>
    <row r="681" spans="1:14" customFormat="1" hidden="1" x14ac:dyDescent="0.35">
      <c r="A681" s="5" t="s">
        <v>3624</v>
      </c>
      <c r="B681" s="2" t="s">
        <v>3627</v>
      </c>
      <c r="C681" s="2" t="s">
        <v>3630</v>
      </c>
      <c r="D681" s="2" t="s">
        <v>29</v>
      </c>
      <c r="E681" s="5" t="s">
        <v>395</v>
      </c>
      <c r="F681" s="2" t="s">
        <v>395</v>
      </c>
      <c r="G681" s="6"/>
      <c r="H681" s="2" t="s">
        <v>187</v>
      </c>
      <c r="I681" s="24">
        <v>46309</v>
      </c>
      <c r="J681" s="6" t="s">
        <v>807</v>
      </c>
      <c r="K681" s="25" t="s">
        <v>33</v>
      </c>
      <c r="L681" s="5" t="s">
        <v>2472</v>
      </c>
      <c r="M681" s="25"/>
    </row>
    <row r="682" spans="1:14" customFormat="1" hidden="1" x14ac:dyDescent="0.35">
      <c r="A682" s="5" t="s">
        <v>3625</v>
      </c>
      <c r="B682" s="2" t="s">
        <v>3628</v>
      </c>
      <c r="C682" s="2" t="s">
        <v>3631</v>
      </c>
      <c r="D682" s="2" t="s">
        <v>29</v>
      </c>
      <c r="E682" s="5" t="s">
        <v>395</v>
      </c>
      <c r="F682" s="2" t="s">
        <v>395</v>
      </c>
      <c r="G682" s="6"/>
      <c r="H682" s="2" t="s">
        <v>187</v>
      </c>
      <c r="I682" s="24">
        <v>46308</v>
      </c>
      <c r="J682" s="6" t="s">
        <v>807</v>
      </c>
      <c r="K682" s="25" t="s">
        <v>33</v>
      </c>
      <c r="L682" s="5" t="s">
        <v>2472</v>
      </c>
      <c r="M682" s="25"/>
    </row>
    <row r="683" spans="1:14" customFormat="1" hidden="1" x14ac:dyDescent="0.35">
      <c r="A683" s="5" t="s">
        <v>3626</v>
      </c>
      <c r="B683" s="2" t="s">
        <v>3629</v>
      </c>
      <c r="C683" s="2" t="s">
        <v>3632</v>
      </c>
      <c r="D683" s="2" t="s">
        <v>29</v>
      </c>
      <c r="E683" s="5" t="s">
        <v>395</v>
      </c>
      <c r="F683" s="2" t="s">
        <v>395</v>
      </c>
      <c r="G683" s="6"/>
      <c r="H683" s="2" t="s">
        <v>3633</v>
      </c>
      <c r="I683" s="24">
        <v>46308</v>
      </c>
      <c r="J683" s="6" t="s">
        <v>2779</v>
      </c>
      <c r="K683" s="25" t="s">
        <v>33</v>
      </c>
      <c r="L683" s="5" t="s">
        <v>2472</v>
      </c>
      <c r="M683" s="25"/>
    </row>
    <row r="684" spans="1:14" hidden="1" x14ac:dyDescent="0.35">
      <c r="A684" s="5" t="s">
        <v>3642</v>
      </c>
      <c r="B684" s="5" t="s">
        <v>3652</v>
      </c>
      <c r="C684" s="5" t="s">
        <v>3662</v>
      </c>
      <c r="D684" s="5" t="s">
        <v>241</v>
      </c>
      <c r="E684" s="5" t="s">
        <v>241</v>
      </c>
      <c r="F684" s="5" t="s">
        <v>241</v>
      </c>
      <c r="G684" s="5" t="s">
        <v>702</v>
      </c>
      <c r="H684" s="5" t="s">
        <v>1592</v>
      </c>
      <c r="I684" s="7">
        <v>46280</v>
      </c>
      <c r="J684" s="5"/>
      <c r="K684" s="6"/>
      <c r="L684" s="5" t="s">
        <v>2474</v>
      </c>
      <c r="M684" s="6"/>
    </row>
    <row r="685" spans="1:14" hidden="1" x14ac:dyDescent="0.35">
      <c r="A685" s="5" t="s">
        <v>3643</v>
      </c>
      <c r="B685" s="5" t="s">
        <v>3653</v>
      </c>
      <c r="C685" s="5" t="s">
        <v>3663</v>
      </c>
      <c r="D685" s="5" t="s">
        <v>241</v>
      </c>
      <c r="E685" s="5" t="s">
        <v>241</v>
      </c>
      <c r="F685" s="5" t="s">
        <v>241</v>
      </c>
      <c r="G685" s="5" t="s">
        <v>63</v>
      </c>
      <c r="H685" s="5" t="s">
        <v>2066</v>
      </c>
      <c r="I685" s="7">
        <v>46300</v>
      </c>
      <c r="J685" s="5"/>
      <c r="K685" s="6"/>
      <c r="L685" s="5" t="s">
        <v>2474</v>
      </c>
      <c r="M685" s="6"/>
    </row>
    <row r="686" spans="1:14" hidden="1" x14ac:dyDescent="0.35">
      <c r="A686" s="5" t="s">
        <v>3644</v>
      </c>
      <c r="B686" s="5" t="s">
        <v>3654</v>
      </c>
      <c r="C686" s="5" t="s">
        <v>3664</v>
      </c>
      <c r="D686" s="5" t="s">
        <v>241</v>
      </c>
      <c r="E686" s="5" t="s">
        <v>241</v>
      </c>
      <c r="F686" s="5" t="s">
        <v>241</v>
      </c>
      <c r="G686" s="5" t="s">
        <v>76</v>
      </c>
      <c r="H686" s="5" t="s">
        <v>3672</v>
      </c>
      <c r="I686" s="7">
        <v>46300</v>
      </c>
      <c r="J686" s="5"/>
      <c r="K686" s="6"/>
      <c r="L686" s="5" t="s">
        <v>2474</v>
      </c>
      <c r="M686" s="6"/>
    </row>
    <row r="687" spans="1:14" hidden="1" x14ac:dyDescent="0.35">
      <c r="A687" s="5" t="s">
        <v>3645</v>
      </c>
      <c r="B687" s="5" t="s">
        <v>3655</v>
      </c>
      <c r="C687" s="5" t="s">
        <v>3665</v>
      </c>
      <c r="D687" s="5" t="s">
        <v>241</v>
      </c>
      <c r="E687" s="5" t="s">
        <v>241</v>
      </c>
      <c r="F687" s="5" t="s">
        <v>241</v>
      </c>
      <c r="G687" s="5" t="s">
        <v>282</v>
      </c>
      <c r="H687" s="5" t="s">
        <v>3673</v>
      </c>
      <c r="I687" s="7">
        <v>46301</v>
      </c>
      <c r="J687" s="5"/>
      <c r="K687" s="6"/>
      <c r="L687" s="5" t="s">
        <v>2474</v>
      </c>
      <c r="M687" s="6"/>
    </row>
    <row r="688" spans="1:14" hidden="1" x14ac:dyDescent="0.35">
      <c r="A688" s="5" t="s">
        <v>3646</v>
      </c>
      <c r="B688" s="5" t="s">
        <v>3656</v>
      </c>
      <c r="C688" s="5" t="s">
        <v>3666</v>
      </c>
      <c r="D688" s="5" t="s">
        <v>241</v>
      </c>
      <c r="E688" s="5" t="s">
        <v>241</v>
      </c>
      <c r="F688" s="5" t="s">
        <v>241</v>
      </c>
      <c r="G688" s="5" t="s">
        <v>282</v>
      </c>
      <c r="H688" s="5" t="s">
        <v>3674</v>
      </c>
      <c r="I688" s="7">
        <v>46303</v>
      </c>
      <c r="J688" s="5"/>
      <c r="K688" s="6"/>
      <c r="L688" s="5" t="s">
        <v>2474</v>
      </c>
      <c r="M688" s="6"/>
    </row>
    <row r="689" spans="1:13" hidden="1" x14ac:dyDescent="0.35">
      <c r="A689" s="5" t="s">
        <v>3647</v>
      </c>
      <c r="B689" s="5" t="s">
        <v>3657</v>
      </c>
      <c r="C689" s="5" t="s">
        <v>3667</v>
      </c>
      <c r="D689" s="5" t="s">
        <v>241</v>
      </c>
      <c r="E689" s="5" t="s">
        <v>241</v>
      </c>
      <c r="F689" s="5" t="s">
        <v>241</v>
      </c>
      <c r="G689" s="5" t="s">
        <v>282</v>
      </c>
      <c r="H689" s="5" t="s">
        <v>3674</v>
      </c>
      <c r="I689" s="7">
        <v>46303</v>
      </c>
      <c r="J689" s="5"/>
      <c r="K689" s="6"/>
      <c r="L689" s="5" t="s">
        <v>2474</v>
      </c>
      <c r="M689" s="6"/>
    </row>
    <row r="690" spans="1:13" hidden="1" x14ac:dyDescent="0.35">
      <c r="A690" s="5" t="s">
        <v>3648</v>
      </c>
      <c r="B690" s="5" t="s">
        <v>3658</v>
      </c>
      <c r="C690" s="5" t="s">
        <v>3668</v>
      </c>
      <c r="D690" s="5" t="s">
        <v>241</v>
      </c>
      <c r="E690" s="5" t="s">
        <v>241</v>
      </c>
      <c r="F690" s="5" t="s">
        <v>241</v>
      </c>
      <c r="G690" s="5" t="s">
        <v>282</v>
      </c>
      <c r="H690" s="5" t="s">
        <v>3674</v>
      </c>
      <c r="I690" s="7">
        <v>46303</v>
      </c>
      <c r="J690" s="5"/>
      <c r="K690" s="6"/>
      <c r="L690" s="5" t="s">
        <v>2474</v>
      </c>
      <c r="M690" s="6"/>
    </row>
    <row r="691" spans="1:13" hidden="1" x14ac:dyDescent="0.35">
      <c r="A691" s="5" t="s">
        <v>3649</v>
      </c>
      <c r="B691" s="5" t="s">
        <v>3659</v>
      </c>
      <c r="C691" s="5" t="s">
        <v>3669</v>
      </c>
      <c r="D691" s="5" t="s">
        <v>241</v>
      </c>
      <c r="E691" s="5" t="s">
        <v>241</v>
      </c>
      <c r="F691" s="5" t="s">
        <v>241</v>
      </c>
      <c r="G691" s="5" t="s">
        <v>282</v>
      </c>
      <c r="H691" s="5" t="s">
        <v>3674</v>
      </c>
      <c r="I691" s="7">
        <v>46303</v>
      </c>
      <c r="J691" s="5"/>
      <c r="K691" s="6"/>
      <c r="L691" s="5" t="s">
        <v>2474</v>
      </c>
      <c r="M691" s="6"/>
    </row>
    <row r="692" spans="1:13" hidden="1" x14ac:dyDescent="0.35">
      <c r="A692" s="5" t="s">
        <v>3650</v>
      </c>
      <c r="B692" s="5" t="s">
        <v>3660</v>
      </c>
      <c r="C692" s="5" t="s">
        <v>3670</v>
      </c>
      <c r="D692" s="5" t="s">
        <v>241</v>
      </c>
      <c r="E692" s="5" t="s">
        <v>241</v>
      </c>
      <c r="F692" s="5" t="s">
        <v>241</v>
      </c>
      <c r="G692" s="5" t="s">
        <v>702</v>
      </c>
      <c r="H692" s="5" t="s">
        <v>3675</v>
      </c>
      <c r="I692" s="7">
        <v>46314</v>
      </c>
      <c r="J692" s="5"/>
      <c r="K692" s="6"/>
      <c r="L692" s="5" t="s">
        <v>2474</v>
      </c>
      <c r="M692" s="6"/>
    </row>
    <row r="693" spans="1:13" hidden="1" x14ac:dyDescent="0.35">
      <c r="A693" s="5" t="s">
        <v>3651</v>
      </c>
      <c r="B693" s="57" t="s">
        <v>3661</v>
      </c>
      <c r="C693" s="5" t="s">
        <v>3671</v>
      </c>
      <c r="D693" s="5" t="s">
        <v>241</v>
      </c>
      <c r="E693" s="5" t="s">
        <v>241</v>
      </c>
      <c r="F693" s="5" t="s">
        <v>241</v>
      </c>
      <c r="G693" s="5" t="s">
        <v>138</v>
      </c>
      <c r="H693" s="5" t="s">
        <v>2367</v>
      </c>
      <c r="I693" s="7">
        <v>46307</v>
      </c>
      <c r="J693" s="5"/>
      <c r="K693" s="6"/>
      <c r="L693" s="5" t="s">
        <v>2474</v>
      </c>
      <c r="M693" s="6"/>
    </row>
    <row r="694" spans="1:13" hidden="1" x14ac:dyDescent="0.35">
      <c r="A694" s="2" t="s">
        <v>3689</v>
      </c>
      <c r="B694" s="57" t="s">
        <v>3694</v>
      </c>
      <c r="C694" s="2" t="s">
        <v>3699</v>
      </c>
      <c r="D694" s="2" t="s">
        <v>241</v>
      </c>
      <c r="E694" s="5" t="s">
        <v>241</v>
      </c>
      <c r="F694" s="5" t="s">
        <v>241</v>
      </c>
      <c r="G694" s="2" t="s">
        <v>702</v>
      </c>
      <c r="H694" s="2" t="s">
        <v>1592</v>
      </c>
      <c r="I694" s="24">
        <v>46314</v>
      </c>
      <c r="J694" s="5"/>
      <c r="K694" s="6"/>
      <c r="L694" s="5" t="s">
        <v>2474</v>
      </c>
      <c r="M694" s="6"/>
    </row>
    <row r="695" spans="1:13" hidden="1" x14ac:dyDescent="0.35">
      <c r="A695" s="2" t="s">
        <v>3690</v>
      </c>
      <c r="B695" s="57" t="s">
        <v>3695</v>
      </c>
      <c r="C695" s="2" t="s">
        <v>3700</v>
      </c>
      <c r="D695" s="2" t="s">
        <v>241</v>
      </c>
      <c r="E695" s="5" t="s">
        <v>241</v>
      </c>
      <c r="F695" s="5" t="s">
        <v>241</v>
      </c>
      <c r="G695" s="2" t="s">
        <v>39</v>
      </c>
      <c r="H695" s="2" t="s">
        <v>3704</v>
      </c>
      <c r="I695" s="24">
        <v>46314</v>
      </c>
      <c r="J695" s="5"/>
      <c r="K695" s="6"/>
      <c r="L695" s="5" t="s">
        <v>2474</v>
      </c>
      <c r="M695" s="6"/>
    </row>
    <row r="696" spans="1:13" hidden="1" x14ac:dyDescent="0.35">
      <c r="A696" s="2" t="s">
        <v>3691</v>
      </c>
      <c r="B696" s="57" t="s">
        <v>3696</v>
      </c>
      <c r="C696" s="2" t="s">
        <v>3701</v>
      </c>
      <c r="D696" s="2" t="s">
        <v>241</v>
      </c>
      <c r="E696" s="5" t="s">
        <v>241</v>
      </c>
      <c r="F696" s="5" t="s">
        <v>241</v>
      </c>
      <c r="G696" s="2" t="s">
        <v>468</v>
      </c>
      <c r="H696" s="2" t="s">
        <v>3705</v>
      </c>
      <c r="I696" s="24">
        <v>46314</v>
      </c>
      <c r="J696" s="5"/>
      <c r="K696" s="6"/>
      <c r="L696" s="5" t="s">
        <v>2474</v>
      </c>
      <c r="M696" s="6"/>
    </row>
    <row r="697" spans="1:13" hidden="1" x14ac:dyDescent="0.35">
      <c r="A697" s="2" t="s">
        <v>3692</v>
      </c>
      <c r="B697" s="57" t="s">
        <v>3697</v>
      </c>
      <c r="C697" s="2" t="s">
        <v>3702</v>
      </c>
      <c r="D697" s="2" t="s">
        <v>241</v>
      </c>
      <c r="E697" s="5" t="s">
        <v>241</v>
      </c>
      <c r="F697" s="5" t="s">
        <v>241</v>
      </c>
      <c r="G697" s="2" t="s">
        <v>702</v>
      </c>
      <c r="H697" s="2" t="s">
        <v>1872</v>
      </c>
      <c r="I697" s="24">
        <v>46307</v>
      </c>
      <c r="J697" s="5"/>
      <c r="K697" s="6"/>
      <c r="L697" s="5" t="s">
        <v>2474</v>
      </c>
      <c r="M697" s="6"/>
    </row>
    <row r="698" spans="1:13" hidden="1" x14ac:dyDescent="0.35">
      <c r="A698" s="2" t="s">
        <v>3693</v>
      </c>
      <c r="B698" s="57" t="s">
        <v>3698</v>
      </c>
      <c r="C698" s="2" t="s">
        <v>3703</v>
      </c>
      <c r="D698" s="2" t="s">
        <v>241</v>
      </c>
      <c r="E698" s="5" t="s">
        <v>241</v>
      </c>
      <c r="F698" s="5" t="s">
        <v>241</v>
      </c>
      <c r="G698" s="57" t="s">
        <v>63</v>
      </c>
      <c r="H698" s="57" t="s">
        <v>3706</v>
      </c>
      <c r="I698" s="24">
        <v>46314</v>
      </c>
      <c r="J698" s="5"/>
      <c r="K698" s="6"/>
      <c r="L698" s="5" t="s">
        <v>2474</v>
      </c>
      <c r="M698" s="6"/>
    </row>
    <row r="699" spans="1:13" hidden="1" x14ac:dyDescent="0.35">
      <c r="A699" s="57" t="s">
        <v>3707</v>
      </c>
      <c r="B699" s="57" t="s">
        <v>3708</v>
      </c>
      <c r="C699" s="57" t="s">
        <v>3709</v>
      </c>
      <c r="D699" s="57" t="s">
        <v>50</v>
      </c>
      <c r="E699" s="57" t="s">
        <v>2476</v>
      </c>
      <c r="F699" s="2" t="s">
        <v>3605</v>
      </c>
      <c r="G699" s="57"/>
      <c r="H699" s="57" t="s">
        <v>230</v>
      </c>
      <c r="I699" s="24">
        <v>46314</v>
      </c>
      <c r="J699" s="5"/>
      <c r="K699" s="6"/>
      <c r="L699" s="2" t="s">
        <v>2473</v>
      </c>
      <c r="M699" s="6"/>
    </row>
    <row r="700" spans="1:13" hidden="1" x14ac:dyDescent="0.35">
      <c r="A700" s="2" t="s">
        <v>3711</v>
      </c>
      <c r="B700" s="57" t="s">
        <v>3712</v>
      </c>
      <c r="C700" s="57" t="s">
        <v>3713</v>
      </c>
      <c r="D700" s="2" t="s">
        <v>29</v>
      </c>
      <c r="E700" s="5" t="s">
        <v>395</v>
      </c>
      <c r="F700" s="2" t="s">
        <v>395</v>
      </c>
      <c r="G700" s="57"/>
      <c r="H700" s="57" t="s">
        <v>3280</v>
      </c>
      <c r="I700" s="24">
        <v>46317</v>
      </c>
      <c r="J700" s="59" t="s">
        <v>807</v>
      </c>
      <c r="K700" s="58" t="s">
        <v>33</v>
      </c>
      <c r="L700" s="5" t="s">
        <v>2472</v>
      </c>
      <c r="M700" s="6"/>
    </row>
    <row r="701" spans="1:13" hidden="1" x14ac:dyDescent="0.35">
      <c r="A701" s="60" t="s">
        <v>3714</v>
      </c>
      <c r="B701" s="57" t="s">
        <v>3715</v>
      </c>
      <c r="C701" s="57" t="s">
        <v>3716</v>
      </c>
      <c r="D701" s="59" t="s">
        <v>241</v>
      </c>
      <c r="E701" s="59" t="s">
        <v>241</v>
      </c>
      <c r="F701" s="59" t="s">
        <v>241</v>
      </c>
      <c r="G701" s="57" t="s">
        <v>63</v>
      </c>
      <c r="H701" s="57" t="s">
        <v>1633</v>
      </c>
      <c r="I701" s="24">
        <v>46316</v>
      </c>
      <c r="J701" s="5"/>
      <c r="K701" s="6"/>
      <c r="L701" s="5" t="s">
        <v>2474</v>
      </c>
      <c r="M701" s="6"/>
    </row>
    <row r="702" spans="1:13" hidden="1" x14ac:dyDescent="0.35">
      <c r="A702" s="60" t="s">
        <v>3727</v>
      </c>
      <c r="B702" s="60" t="s">
        <v>3717</v>
      </c>
      <c r="C702" s="57" t="s">
        <v>3718</v>
      </c>
      <c r="D702" s="2" t="s">
        <v>29</v>
      </c>
      <c r="E702" s="5" t="s">
        <v>395</v>
      </c>
      <c r="F702" s="2" t="s">
        <v>395</v>
      </c>
      <c r="G702" s="57"/>
      <c r="H702" s="57" t="s">
        <v>187</v>
      </c>
      <c r="I702" s="24">
        <v>46317</v>
      </c>
      <c r="J702" s="59" t="s">
        <v>807</v>
      </c>
      <c r="K702" s="58" t="s">
        <v>33</v>
      </c>
      <c r="L702" s="5" t="s">
        <v>2472</v>
      </c>
      <c r="M702" s="6"/>
    </row>
    <row r="703" spans="1:13" x14ac:dyDescent="0.35">
      <c r="A703" s="60" t="s">
        <v>3719</v>
      </c>
      <c r="B703" s="60" t="s">
        <v>3720</v>
      </c>
      <c r="C703" s="60" t="s">
        <v>3721</v>
      </c>
      <c r="D703" s="60" t="s">
        <v>29</v>
      </c>
      <c r="E703" s="5" t="s">
        <v>395</v>
      </c>
      <c r="F703" s="2" t="s">
        <v>395</v>
      </c>
      <c r="G703" s="57"/>
      <c r="H703" s="5" t="s">
        <v>3722</v>
      </c>
      <c r="I703" s="24">
        <v>46301</v>
      </c>
      <c r="J703" s="5"/>
      <c r="K703" s="5"/>
      <c r="L703" s="5" t="s">
        <v>2453</v>
      </c>
      <c r="M703" s="6"/>
    </row>
    <row r="704" spans="1:13" x14ac:dyDescent="0.35">
      <c r="A704" s="60" t="s">
        <v>3723</v>
      </c>
      <c r="B704" s="5" t="s">
        <v>3724</v>
      </c>
      <c r="C704" s="61" t="s">
        <v>3725</v>
      </c>
      <c r="D704" s="60" t="s">
        <v>29</v>
      </c>
      <c r="E704" s="5" t="s">
        <v>395</v>
      </c>
      <c r="F704" s="2" t="s">
        <v>395</v>
      </c>
      <c r="G704" s="57"/>
      <c r="H704" s="5" t="s">
        <v>3726</v>
      </c>
      <c r="I704" s="24">
        <v>46309</v>
      </c>
      <c r="J704" s="5"/>
      <c r="K704" s="5"/>
      <c r="L704" s="5" t="s">
        <v>2453</v>
      </c>
      <c r="M704" s="6"/>
    </row>
    <row r="705" spans="1:13" hidden="1" x14ac:dyDescent="0.35">
      <c r="A705" s="2" t="s">
        <v>3729</v>
      </c>
      <c r="B705" s="2" t="s">
        <v>3730</v>
      </c>
      <c r="C705" s="2" t="s">
        <v>3731</v>
      </c>
      <c r="D705" s="59" t="s">
        <v>241</v>
      </c>
      <c r="E705" s="59" t="s">
        <v>241</v>
      </c>
      <c r="F705" s="59" t="s">
        <v>241</v>
      </c>
      <c r="G705" s="2" t="s">
        <v>702</v>
      </c>
      <c r="H705" s="2" t="s">
        <v>711</v>
      </c>
      <c r="I705" s="24">
        <v>46316</v>
      </c>
      <c r="J705" s="6"/>
      <c r="K705" s="6"/>
      <c r="L705" s="5" t="s">
        <v>2474</v>
      </c>
      <c r="M705" s="6"/>
    </row>
  </sheetData>
  <autoFilter ref="A1:M705" xr:uid="{00000000-0001-0000-0000-000000000000}">
    <filterColumn colId="0">
      <filters>
        <filter val="INTERN0010"/>
        <filter val="INTERN0013"/>
        <filter val="INTERN0014"/>
        <filter val="INTERN0015"/>
        <filter val="INTERN0016"/>
        <filter val="INTERN0017"/>
        <filter val="INTERN0018"/>
      </filters>
    </filterColumn>
  </autoFilter>
  <hyperlinks>
    <hyperlink ref="C704" r:id="rId1" xr:uid="{19A838EB-5B0C-4691-A494-2F92579AE987}"/>
  </hyperlink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BF6CC-E245-4671-9B79-AFF311BD0AF8}">
  <dimension ref="A1:S345"/>
  <sheetViews>
    <sheetView topLeftCell="K328" workbookViewId="0">
      <selection activeCell="P345" sqref="P345"/>
    </sheetView>
  </sheetViews>
  <sheetFormatPr defaultRowHeight="14.5" x14ac:dyDescent="0.35"/>
  <cols>
    <col min="1" max="1" width="20.90625" bestFit="1" customWidth="1"/>
    <col min="2" max="3" width="37.81640625" bestFit="1" customWidth="1"/>
    <col min="4" max="4" width="11.54296875" bestFit="1" customWidth="1"/>
    <col min="5" max="5" width="17.08984375" bestFit="1" customWidth="1"/>
    <col min="6" max="6" width="23.54296875" bestFit="1" customWidth="1"/>
    <col min="7" max="7" width="25.453125" bestFit="1" customWidth="1"/>
    <col min="8" max="8" width="27.26953125" bestFit="1" customWidth="1"/>
    <col min="9" max="9" width="23.6328125" bestFit="1" customWidth="1"/>
    <col min="10" max="10" width="46" bestFit="1" customWidth="1"/>
    <col min="11" max="11" width="24.26953125" bestFit="1" customWidth="1"/>
    <col min="12" max="12" width="15.1796875" bestFit="1" customWidth="1"/>
    <col min="13" max="13" width="12.90625" bestFit="1" customWidth="1"/>
    <col min="14" max="14" width="12" bestFit="1" customWidth="1"/>
    <col min="15" max="15" width="20.1796875" bestFit="1" customWidth="1"/>
    <col min="16" max="16" width="26.90625" bestFit="1" customWidth="1"/>
    <col min="17" max="17" width="12.26953125" bestFit="1" customWidth="1"/>
    <col min="18" max="18" width="11.36328125" bestFit="1" customWidth="1"/>
    <col min="19" max="19" width="21.54296875" bestFit="1" customWidth="1"/>
  </cols>
  <sheetData>
    <row r="1" spans="1:19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3635</v>
      </c>
      <c r="I1" s="8" t="s">
        <v>7</v>
      </c>
      <c r="J1" s="8" t="s">
        <v>8</v>
      </c>
      <c r="K1" s="8" t="s">
        <v>9</v>
      </c>
      <c r="L1" s="9" t="s">
        <v>10</v>
      </c>
      <c r="M1" s="9" t="s">
        <v>11</v>
      </c>
      <c r="N1" s="9" t="s">
        <v>2478</v>
      </c>
      <c r="O1" s="8" t="s">
        <v>12</v>
      </c>
      <c r="P1" s="8" t="s">
        <v>13</v>
      </c>
      <c r="Q1" s="8" t="s">
        <v>2479</v>
      </c>
      <c r="R1" s="8" t="s">
        <v>2471</v>
      </c>
      <c r="S1" s="8" t="s">
        <v>2480</v>
      </c>
    </row>
    <row r="2" spans="1:19" x14ac:dyDescent="0.35">
      <c r="A2" s="5" t="s">
        <v>2481</v>
      </c>
      <c r="B2" s="5" t="s">
        <v>2482</v>
      </c>
      <c r="C2" s="5" t="s">
        <v>2483</v>
      </c>
      <c r="D2" s="5" t="s">
        <v>28</v>
      </c>
      <c r="E2" s="5" t="s">
        <v>1583</v>
      </c>
      <c r="F2" s="5" t="s">
        <v>241</v>
      </c>
      <c r="G2" s="5" t="s">
        <v>242</v>
      </c>
      <c r="H2" s="5" t="s">
        <v>242</v>
      </c>
      <c r="I2" s="5" t="s">
        <v>1026</v>
      </c>
      <c r="J2" s="5" t="s">
        <v>2484</v>
      </c>
      <c r="K2" s="5" t="s">
        <v>426</v>
      </c>
      <c r="L2" s="7">
        <v>46027</v>
      </c>
      <c r="M2" s="7">
        <v>46049</v>
      </c>
      <c r="N2" s="10" t="s">
        <v>2485</v>
      </c>
      <c r="O2" s="5" t="s">
        <v>2486</v>
      </c>
      <c r="P2" s="5" t="s">
        <v>2487</v>
      </c>
      <c r="Q2" s="6"/>
      <c r="R2" s="6"/>
      <c r="S2" s="52" t="s">
        <v>2488</v>
      </c>
    </row>
    <row r="3" spans="1:19" x14ac:dyDescent="0.35">
      <c r="A3" s="5" t="s">
        <v>2489</v>
      </c>
      <c r="B3" s="5" t="s">
        <v>2490</v>
      </c>
      <c r="C3" s="5" t="s">
        <v>2491</v>
      </c>
      <c r="D3" s="5" t="s">
        <v>17</v>
      </c>
      <c r="E3" s="5" t="s">
        <v>19</v>
      </c>
      <c r="F3" s="5" t="s">
        <v>37</v>
      </c>
      <c r="G3" s="53" t="s">
        <v>2476</v>
      </c>
      <c r="H3" s="5" t="s">
        <v>3606</v>
      </c>
      <c r="I3" s="5"/>
      <c r="J3" s="5" t="s">
        <v>2492</v>
      </c>
      <c r="K3" s="5" t="s">
        <v>35</v>
      </c>
      <c r="L3" s="7">
        <v>41292</v>
      </c>
      <c r="M3" s="7">
        <v>46211</v>
      </c>
      <c r="N3" s="10" t="s">
        <v>2493</v>
      </c>
      <c r="O3" s="5" t="s">
        <v>2494</v>
      </c>
      <c r="P3" s="5" t="s">
        <v>2495</v>
      </c>
      <c r="Q3" s="6"/>
      <c r="R3" s="6"/>
      <c r="S3" s="6" t="s">
        <v>2473</v>
      </c>
    </row>
    <row r="4" spans="1:19" x14ac:dyDescent="0.35">
      <c r="A4" s="5" t="s">
        <v>2496</v>
      </c>
      <c r="B4" s="5" t="s">
        <v>2497</v>
      </c>
      <c r="C4" s="5" t="s">
        <v>2498</v>
      </c>
      <c r="D4" s="5" t="s">
        <v>17</v>
      </c>
      <c r="E4" s="5" t="s">
        <v>19</v>
      </c>
      <c r="F4" s="5" t="s">
        <v>29</v>
      </c>
      <c r="G4" s="53" t="s">
        <v>2476</v>
      </c>
      <c r="H4" s="5" t="s">
        <v>3606</v>
      </c>
      <c r="I4" s="5"/>
      <c r="J4" s="5" t="s">
        <v>695</v>
      </c>
      <c r="K4" s="5" t="s">
        <v>120</v>
      </c>
      <c r="L4" s="7">
        <v>42193</v>
      </c>
      <c r="M4" s="7">
        <v>46147</v>
      </c>
      <c r="N4" s="10" t="s">
        <v>683</v>
      </c>
      <c r="O4" s="5" t="s">
        <v>2494</v>
      </c>
      <c r="P4" s="5" t="s">
        <v>2499</v>
      </c>
      <c r="Q4" s="6"/>
      <c r="R4" s="6"/>
      <c r="S4" s="6" t="s">
        <v>2473</v>
      </c>
    </row>
    <row r="5" spans="1:19" x14ac:dyDescent="0.35">
      <c r="A5" s="5" t="s">
        <v>2500</v>
      </c>
      <c r="B5" s="5" t="s">
        <v>2501</v>
      </c>
      <c r="C5" s="5" t="s">
        <v>2502</v>
      </c>
      <c r="D5" s="5" t="s">
        <v>28</v>
      </c>
      <c r="E5" s="5" t="s">
        <v>19</v>
      </c>
      <c r="F5" s="5" t="s">
        <v>37</v>
      </c>
      <c r="G5" s="53" t="s">
        <v>2476</v>
      </c>
      <c r="H5" s="5" t="s">
        <v>3606</v>
      </c>
      <c r="I5" s="5"/>
      <c r="J5" s="5" t="s">
        <v>119</v>
      </c>
      <c r="K5" s="5" t="s">
        <v>174</v>
      </c>
      <c r="L5" s="7">
        <v>43157</v>
      </c>
      <c r="M5" s="7">
        <v>46142</v>
      </c>
      <c r="N5" s="10" t="s">
        <v>683</v>
      </c>
      <c r="O5" s="5" t="s">
        <v>2494</v>
      </c>
      <c r="P5" s="5" t="s">
        <v>2503</v>
      </c>
      <c r="Q5" s="6"/>
      <c r="R5" s="6"/>
      <c r="S5" s="6" t="s">
        <v>2473</v>
      </c>
    </row>
    <row r="6" spans="1:19" x14ac:dyDescent="0.35">
      <c r="A6" s="5" t="s">
        <v>2504</v>
      </c>
      <c r="B6" s="5" t="s">
        <v>2505</v>
      </c>
      <c r="C6" s="5" t="s">
        <v>2506</v>
      </c>
      <c r="D6" s="5" t="s">
        <v>17</v>
      </c>
      <c r="E6" s="5" t="s">
        <v>19</v>
      </c>
      <c r="F6" s="5" t="s">
        <v>20</v>
      </c>
      <c r="G6" s="5" t="s">
        <v>20</v>
      </c>
      <c r="H6" s="5" t="s">
        <v>20</v>
      </c>
      <c r="I6" s="5" t="s">
        <v>43</v>
      </c>
      <c r="J6" s="5" t="s">
        <v>2507</v>
      </c>
      <c r="K6" s="5" t="s">
        <v>41</v>
      </c>
      <c r="L6" s="7">
        <v>43444</v>
      </c>
      <c r="M6" s="7">
        <v>46177</v>
      </c>
      <c r="N6" s="10" t="s">
        <v>683</v>
      </c>
      <c r="O6" s="5" t="s">
        <v>2494</v>
      </c>
      <c r="P6" s="5" t="s">
        <v>2495</v>
      </c>
      <c r="Q6" s="6"/>
      <c r="R6" s="6"/>
      <c r="S6" s="6" t="s">
        <v>2473</v>
      </c>
    </row>
    <row r="7" spans="1:19" x14ac:dyDescent="0.35">
      <c r="A7" s="5" t="s">
        <v>2508</v>
      </c>
      <c r="B7" s="5" t="s">
        <v>2509</v>
      </c>
      <c r="C7" s="5" t="s">
        <v>2510</v>
      </c>
      <c r="D7" s="5" t="s">
        <v>17</v>
      </c>
      <c r="E7" s="5" t="s">
        <v>19</v>
      </c>
      <c r="F7" s="5" t="s">
        <v>50</v>
      </c>
      <c r="G7" s="53" t="s">
        <v>2476</v>
      </c>
      <c r="H7" s="5" t="s">
        <v>3605</v>
      </c>
      <c r="I7" s="5"/>
      <c r="J7" s="5" t="s">
        <v>119</v>
      </c>
      <c r="K7" s="5" t="s">
        <v>89</v>
      </c>
      <c r="L7" s="7">
        <v>43780</v>
      </c>
      <c r="M7" s="7">
        <v>46255</v>
      </c>
      <c r="N7" s="10" t="s">
        <v>2493</v>
      </c>
      <c r="O7" s="5" t="s">
        <v>2494</v>
      </c>
      <c r="P7" s="5" t="s">
        <v>2495</v>
      </c>
      <c r="Q7" s="6"/>
      <c r="R7" s="6"/>
      <c r="S7" s="6" t="s">
        <v>2473</v>
      </c>
    </row>
    <row r="8" spans="1:19" x14ac:dyDescent="0.35">
      <c r="A8" s="5" t="s">
        <v>2511</v>
      </c>
      <c r="B8" s="5" t="s">
        <v>2512</v>
      </c>
      <c r="C8" s="5" t="s">
        <v>2513</v>
      </c>
      <c r="D8" s="5" t="s">
        <v>17</v>
      </c>
      <c r="E8" s="5" t="s">
        <v>19</v>
      </c>
      <c r="F8" s="5" t="s">
        <v>29</v>
      </c>
      <c r="G8" s="5" t="s">
        <v>395</v>
      </c>
      <c r="H8" s="5" t="s">
        <v>395</v>
      </c>
      <c r="I8" s="5"/>
      <c r="J8" s="5" t="s">
        <v>187</v>
      </c>
      <c r="K8" s="5" t="s">
        <v>188</v>
      </c>
      <c r="L8" s="7">
        <v>44256</v>
      </c>
      <c r="M8" s="7">
        <v>46202</v>
      </c>
      <c r="N8" s="10" t="s">
        <v>683</v>
      </c>
      <c r="O8" s="5" t="s">
        <v>2486</v>
      </c>
      <c r="P8" s="5" t="s">
        <v>2514</v>
      </c>
      <c r="Q8" s="6" t="s">
        <v>56</v>
      </c>
      <c r="R8" s="6" t="s">
        <v>18</v>
      </c>
      <c r="S8" s="6" t="s">
        <v>2515</v>
      </c>
    </row>
    <row r="9" spans="1:19" x14ac:dyDescent="0.35">
      <c r="A9" s="5" t="s">
        <v>2516</v>
      </c>
      <c r="B9" s="5" t="s">
        <v>2517</v>
      </c>
      <c r="C9" s="5" t="s">
        <v>2518</v>
      </c>
      <c r="D9" s="5" t="s">
        <v>28</v>
      </c>
      <c r="E9" s="5" t="s">
        <v>19</v>
      </c>
      <c r="F9" s="5" t="s">
        <v>29</v>
      </c>
      <c r="G9" s="5" t="s">
        <v>395</v>
      </c>
      <c r="H9" s="5" t="s">
        <v>395</v>
      </c>
      <c r="I9" s="5"/>
      <c r="J9" s="5" t="s">
        <v>506</v>
      </c>
      <c r="K9" s="5" t="s">
        <v>188</v>
      </c>
      <c r="L9" s="7">
        <v>44256</v>
      </c>
      <c r="M9" s="7">
        <v>46146</v>
      </c>
      <c r="N9" s="10" t="s">
        <v>683</v>
      </c>
      <c r="O9" s="5" t="s">
        <v>2486</v>
      </c>
      <c r="P9" s="5" t="s">
        <v>2514</v>
      </c>
      <c r="Q9" s="6" t="s">
        <v>56</v>
      </c>
      <c r="R9" s="6" t="s">
        <v>18</v>
      </c>
      <c r="S9" s="6" t="s">
        <v>2515</v>
      </c>
    </row>
    <row r="10" spans="1:19" x14ac:dyDescent="0.35">
      <c r="A10" s="5" t="s">
        <v>2519</v>
      </c>
      <c r="B10" s="5" t="s">
        <v>2520</v>
      </c>
      <c r="C10" s="5" t="s">
        <v>2521</v>
      </c>
      <c r="D10" s="5" t="s">
        <v>17</v>
      </c>
      <c r="E10" s="5" t="s">
        <v>19</v>
      </c>
      <c r="F10" s="5" t="s">
        <v>50</v>
      </c>
      <c r="G10" s="53" t="s">
        <v>2476</v>
      </c>
      <c r="H10" s="5" t="s">
        <v>3605</v>
      </c>
      <c r="I10" s="5"/>
      <c r="J10" s="5" t="s">
        <v>2522</v>
      </c>
      <c r="K10" s="5" t="s">
        <v>48</v>
      </c>
      <c r="L10" s="7">
        <v>44284</v>
      </c>
      <c r="M10" s="7">
        <v>46129</v>
      </c>
      <c r="N10" s="10" t="s">
        <v>683</v>
      </c>
      <c r="O10" s="5" t="s">
        <v>2494</v>
      </c>
      <c r="P10" s="5" t="s">
        <v>2499</v>
      </c>
      <c r="Q10" s="6"/>
      <c r="R10" s="6"/>
      <c r="S10" s="6" t="s">
        <v>2473</v>
      </c>
    </row>
    <row r="11" spans="1:19" x14ac:dyDescent="0.35">
      <c r="A11" s="5" t="s">
        <v>2523</v>
      </c>
      <c r="B11" s="5" t="s">
        <v>2524</v>
      </c>
      <c r="C11" s="5" t="s">
        <v>2525</v>
      </c>
      <c r="D11" s="5" t="s">
        <v>17</v>
      </c>
      <c r="E11" s="5" t="s">
        <v>156</v>
      </c>
      <c r="F11" s="5" t="s">
        <v>50</v>
      </c>
      <c r="G11" s="53" t="s">
        <v>2476</v>
      </c>
      <c r="H11" s="5" t="s">
        <v>3605</v>
      </c>
      <c r="I11" s="5"/>
      <c r="J11" s="5" t="s">
        <v>60</v>
      </c>
      <c r="K11" s="5" t="s">
        <v>107</v>
      </c>
      <c r="L11" s="7">
        <v>44312</v>
      </c>
      <c r="M11" s="7">
        <v>46199</v>
      </c>
      <c r="N11" s="10" t="s">
        <v>683</v>
      </c>
      <c r="O11" s="5" t="s">
        <v>2494</v>
      </c>
      <c r="P11" s="5" t="s">
        <v>2495</v>
      </c>
      <c r="Q11" s="6"/>
      <c r="R11" s="6"/>
      <c r="S11" s="6" t="s">
        <v>2473</v>
      </c>
    </row>
    <row r="12" spans="1:19" x14ac:dyDescent="0.35">
      <c r="A12" s="5" t="s">
        <v>2526</v>
      </c>
      <c r="B12" s="5" t="s">
        <v>2527</v>
      </c>
      <c r="C12" s="5" t="s">
        <v>2528</v>
      </c>
      <c r="D12" s="5" t="s">
        <v>28</v>
      </c>
      <c r="E12" s="5" t="s">
        <v>19</v>
      </c>
      <c r="F12" s="5" t="s">
        <v>29</v>
      </c>
      <c r="G12" s="5" t="s">
        <v>395</v>
      </c>
      <c r="H12" s="5" t="s">
        <v>395</v>
      </c>
      <c r="I12" s="5"/>
      <c r="J12" s="5" t="s">
        <v>243</v>
      </c>
      <c r="K12" s="5" t="s">
        <v>188</v>
      </c>
      <c r="L12" s="7">
        <v>44333</v>
      </c>
      <c r="M12" s="7">
        <v>46038</v>
      </c>
      <c r="N12" s="10" t="s">
        <v>2485</v>
      </c>
      <c r="O12" s="5" t="s">
        <v>2486</v>
      </c>
      <c r="P12" s="5" t="s">
        <v>2514</v>
      </c>
      <c r="Q12" s="6" t="s">
        <v>2529</v>
      </c>
      <c r="R12" s="6" t="s">
        <v>18</v>
      </c>
      <c r="S12" s="6" t="s">
        <v>2515</v>
      </c>
    </row>
    <row r="13" spans="1:19" x14ac:dyDescent="0.35">
      <c r="A13" s="5" t="s">
        <v>2530</v>
      </c>
      <c r="B13" s="5" t="s">
        <v>2531</v>
      </c>
      <c r="C13" s="5" t="s">
        <v>2532</v>
      </c>
      <c r="D13" s="5" t="s">
        <v>28</v>
      </c>
      <c r="E13" s="5" t="s">
        <v>19</v>
      </c>
      <c r="F13" s="5" t="s">
        <v>50</v>
      </c>
      <c r="G13" s="53" t="s">
        <v>2476</v>
      </c>
      <c r="H13" s="5" t="s">
        <v>3605</v>
      </c>
      <c r="I13" s="5"/>
      <c r="J13" s="5" t="s">
        <v>230</v>
      </c>
      <c r="K13" s="5" t="s">
        <v>61</v>
      </c>
      <c r="L13" s="7">
        <v>44326</v>
      </c>
      <c r="M13" s="7">
        <v>46171</v>
      </c>
      <c r="N13" s="10" t="s">
        <v>683</v>
      </c>
      <c r="O13" s="5" t="s">
        <v>2494</v>
      </c>
      <c r="P13" s="5" t="s">
        <v>2495</v>
      </c>
      <c r="Q13" s="6"/>
      <c r="R13" s="6"/>
      <c r="S13" s="6" t="s">
        <v>2473</v>
      </c>
    </row>
    <row r="14" spans="1:19" x14ac:dyDescent="0.35">
      <c r="A14" s="5" t="s">
        <v>2533</v>
      </c>
      <c r="B14" s="5" t="s">
        <v>2534</v>
      </c>
      <c r="C14" s="5" t="s">
        <v>2535</v>
      </c>
      <c r="D14" s="5" t="s">
        <v>28</v>
      </c>
      <c r="E14" s="5" t="s">
        <v>19</v>
      </c>
      <c r="F14" s="5" t="s">
        <v>20</v>
      </c>
      <c r="G14" s="5" t="s">
        <v>20</v>
      </c>
      <c r="H14" s="5" t="s">
        <v>20</v>
      </c>
      <c r="I14" s="5"/>
      <c r="J14" s="5" t="s">
        <v>2536</v>
      </c>
      <c r="K14" s="5" t="s">
        <v>2537</v>
      </c>
      <c r="L14" s="7">
        <v>44326</v>
      </c>
      <c r="M14" s="7">
        <v>46134</v>
      </c>
      <c r="N14" s="10" t="s">
        <v>683</v>
      </c>
      <c r="O14" s="5" t="s">
        <v>2494</v>
      </c>
      <c r="P14" s="5" t="s">
        <v>2538</v>
      </c>
      <c r="Q14" s="6"/>
      <c r="R14" s="6"/>
      <c r="S14" s="6" t="s">
        <v>2473</v>
      </c>
    </row>
    <row r="15" spans="1:19" x14ac:dyDescent="0.35">
      <c r="A15" s="5" t="s">
        <v>2539</v>
      </c>
      <c r="B15" s="5" t="s">
        <v>2540</v>
      </c>
      <c r="C15" s="5" t="s">
        <v>2541</v>
      </c>
      <c r="D15" s="5" t="s">
        <v>28</v>
      </c>
      <c r="E15" s="5" t="s">
        <v>130</v>
      </c>
      <c r="F15" s="5" t="s">
        <v>37</v>
      </c>
      <c r="G15" s="53" t="s">
        <v>2476</v>
      </c>
      <c r="H15" s="5" t="s">
        <v>3606</v>
      </c>
      <c r="I15" s="5"/>
      <c r="J15" s="5" t="s">
        <v>2542</v>
      </c>
      <c r="K15" s="5" t="s">
        <v>2543</v>
      </c>
      <c r="L15" s="7">
        <v>44348</v>
      </c>
      <c r="M15" s="7">
        <v>46058</v>
      </c>
      <c r="N15" s="10" t="s">
        <v>2485</v>
      </c>
      <c r="O15" s="5" t="s">
        <v>2494</v>
      </c>
      <c r="P15" s="5" t="s">
        <v>2499</v>
      </c>
      <c r="Q15" s="6"/>
      <c r="R15" s="6"/>
      <c r="S15" s="6" t="s">
        <v>2473</v>
      </c>
    </row>
    <row r="16" spans="1:19" x14ac:dyDescent="0.35">
      <c r="A16" s="5" t="s">
        <v>2544</v>
      </c>
      <c r="B16" s="5" t="s">
        <v>2545</v>
      </c>
      <c r="C16" s="5" t="s">
        <v>2546</v>
      </c>
      <c r="D16" s="5" t="s">
        <v>17</v>
      </c>
      <c r="E16" s="5" t="s">
        <v>19</v>
      </c>
      <c r="F16" s="5" t="s">
        <v>37</v>
      </c>
      <c r="G16" s="53" t="s">
        <v>2476</v>
      </c>
      <c r="H16" s="5" t="s">
        <v>3606</v>
      </c>
      <c r="I16" s="5"/>
      <c r="J16" s="5" t="s">
        <v>695</v>
      </c>
      <c r="K16" s="5" t="s">
        <v>174</v>
      </c>
      <c r="L16" s="7">
        <v>44333</v>
      </c>
      <c r="M16" s="7">
        <v>46086</v>
      </c>
      <c r="N16" s="10" t="s">
        <v>2485</v>
      </c>
      <c r="O16" s="5" t="s">
        <v>2486</v>
      </c>
      <c r="P16" s="5" t="s">
        <v>2547</v>
      </c>
      <c r="Q16" s="6"/>
      <c r="R16" s="6"/>
      <c r="S16" s="6" t="s">
        <v>2473</v>
      </c>
    </row>
    <row r="17" spans="1:19" x14ac:dyDescent="0.35">
      <c r="A17" s="5" t="s">
        <v>2548</v>
      </c>
      <c r="B17" s="5" t="s">
        <v>2549</v>
      </c>
      <c r="C17" s="5" t="s">
        <v>2550</v>
      </c>
      <c r="D17" s="5" t="s">
        <v>28</v>
      </c>
      <c r="E17" s="5" t="s">
        <v>156</v>
      </c>
      <c r="F17" s="5" t="s">
        <v>37</v>
      </c>
      <c r="G17" s="53" t="s">
        <v>2476</v>
      </c>
      <c r="H17" s="5" t="s">
        <v>3606</v>
      </c>
      <c r="I17" s="5"/>
      <c r="J17" s="5" t="s">
        <v>230</v>
      </c>
      <c r="K17" s="5" t="s">
        <v>835</v>
      </c>
      <c r="L17" s="7">
        <v>44512</v>
      </c>
      <c r="M17" s="7">
        <v>46031</v>
      </c>
      <c r="N17" s="10" t="s">
        <v>2485</v>
      </c>
      <c r="O17" s="5" t="s">
        <v>2494</v>
      </c>
      <c r="P17" s="5" t="s">
        <v>2499</v>
      </c>
      <c r="Q17" s="6"/>
      <c r="R17" s="6"/>
      <c r="S17" s="6" t="s">
        <v>2473</v>
      </c>
    </row>
    <row r="18" spans="1:19" x14ac:dyDescent="0.35">
      <c r="A18" s="5" t="s">
        <v>2551</v>
      </c>
      <c r="B18" s="5" t="s">
        <v>2552</v>
      </c>
      <c r="C18" s="5" t="s">
        <v>2553</v>
      </c>
      <c r="D18" s="5" t="s">
        <v>28</v>
      </c>
      <c r="E18" s="5" t="s">
        <v>19</v>
      </c>
      <c r="F18" s="5" t="s">
        <v>37</v>
      </c>
      <c r="G18" s="53" t="s">
        <v>2476</v>
      </c>
      <c r="H18" s="5" t="s">
        <v>3606</v>
      </c>
      <c r="I18" s="5"/>
      <c r="J18" s="5" t="s">
        <v>230</v>
      </c>
      <c r="K18" s="5" t="s">
        <v>174</v>
      </c>
      <c r="L18" s="7">
        <v>44512</v>
      </c>
      <c r="M18" s="7">
        <v>46099</v>
      </c>
      <c r="N18" s="10" t="s">
        <v>2485</v>
      </c>
      <c r="O18" s="5" t="s">
        <v>2486</v>
      </c>
      <c r="P18" s="5" t="s">
        <v>2554</v>
      </c>
      <c r="Q18" s="6"/>
      <c r="R18" s="6"/>
      <c r="S18" s="6" t="s">
        <v>2473</v>
      </c>
    </row>
    <row r="19" spans="1:19" x14ac:dyDescent="0.35">
      <c r="A19" s="5" t="s">
        <v>2555</v>
      </c>
      <c r="B19" s="5" t="s">
        <v>2556</v>
      </c>
      <c r="C19" s="5" t="s">
        <v>2557</v>
      </c>
      <c r="D19" s="5" t="s">
        <v>28</v>
      </c>
      <c r="E19" s="5" t="s">
        <v>19</v>
      </c>
      <c r="F19" s="5" t="s">
        <v>37</v>
      </c>
      <c r="G19" s="53" t="s">
        <v>2476</v>
      </c>
      <c r="H19" s="5" t="s">
        <v>3606</v>
      </c>
      <c r="I19" s="5"/>
      <c r="J19" s="5" t="s">
        <v>370</v>
      </c>
      <c r="K19" s="5" t="s">
        <v>835</v>
      </c>
      <c r="L19" s="7">
        <v>44550</v>
      </c>
      <c r="M19" s="7">
        <v>46111</v>
      </c>
      <c r="N19" s="10" t="s">
        <v>2485</v>
      </c>
      <c r="O19" s="5" t="s">
        <v>2486</v>
      </c>
      <c r="P19" s="5" t="s">
        <v>2547</v>
      </c>
      <c r="Q19" s="6"/>
      <c r="R19" s="6"/>
      <c r="S19" s="6" t="s">
        <v>2473</v>
      </c>
    </row>
    <row r="20" spans="1:19" x14ac:dyDescent="0.35">
      <c r="A20" s="5" t="s">
        <v>2558</v>
      </c>
      <c r="B20" s="5" t="s">
        <v>2559</v>
      </c>
      <c r="C20" s="5" t="s">
        <v>2560</v>
      </c>
      <c r="D20" s="5" t="s">
        <v>17</v>
      </c>
      <c r="E20" s="5" t="s">
        <v>156</v>
      </c>
      <c r="F20" s="5" t="s">
        <v>50</v>
      </c>
      <c r="G20" s="53" t="s">
        <v>2476</v>
      </c>
      <c r="H20" s="5" t="s">
        <v>3605</v>
      </c>
      <c r="I20" s="5"/>
      <c r="J20" s="5" t="s">
        <v>370</v>
      </c>
      <c r="K20" s="5" t="s">
        <v>258</v>
      </c>
      <c r="L20" s="7">
        <v>44599</v>
      </c>
      <c r="M20" s="7">
        <v>46128</v>
      </c>
      <c r="N20" s="10" t="s">
        <v>683</v>
      </c>
      <c r="O20" s="5" t="s">
        <v>2494</v>
      </c>
      <c r="P20" s="5" t="s">
        <v>2538</v>
      </c>
      <c r="Q20" s="6"/>
      <c r="R20" s="6"/>
      <c r="S20" s="6" t="s">
        <v>2473</v>
      </c>
    </row>
    <row r="21" spans="1:19" x14ac:dyDescent="0.35">
      <c r="A21" s="5" t="s">
        <v>2561</v>
      </c>
      <c r="B21" s="5" t="s">
        <v>2562</v>
      </c>
      <c r="C21" s="5" t="s">
        <v>2563</v>
      </c>
      <c r="D21" s="5" t="s">
        <v>17</v>
      </c>
      <c r="E21" s="5" t="s">
        <v>156</v>
      </c>
      <c r="F21" s="5" t="s">
        <v>50</v>
      </c>
      <c r="G21" s="53" t="s">
        <v>2476</v>
      </c>
      <c r="H21" s="5" t="s">
        <v>3605</v>
      </c>
      <c r="I21" s="5"/>
      <c r="J21" s="5" t="s">
        <v>230</v>
      </c>
      <c r="K21" s="5" t="s">
        <v>527</v>
      </c>
      <c r="L21" s="7">
        <v>44599</v>
      </c>
      <c r="M21" s="7">
        <v>46101</v>
      </c>
      <c r="N21" s="10" t="s">
        <v>2485</v>
      </c>
      <c r="O21" s="5" t="s">
        <v>2494</v>
      </c>
      <c r="P21" s="5" t="s">
        <v>2495</v>
      </c>
      <c r="Q21" s="6"/>
      <c r="R21" s="6"/>
      <c r="S21" s="6" t="s">
        <v>2473</v>
      </c>
    </row>
    <row r="22" spans="1:19" x14ac:dyDescent="0.35">
      <c r="A22" s="5" t="s">
        <v>2564</v>
      </c>
      <c r="B22" s="5" t="s">
        <v>2565</v>
      </c>
      <c r="C22" s="5" t="s">
        <v>2566</v>
      </c>
      <c r="D22" s="5" t="s">
        <v>28</v>
      </c>
      <c r="E22" s="5" t="s">
        <v>19</v>
      </c>
      <c r="F22" s="5" t="s">
        <v>20</v>
      </c>
      <c r="G22" s="5" t="s">
        <v>20</v>
      </c>
      <c r="H22" s="5" t="s">
        <v>20</v>
      </c>
      <c r="I22" s="5" t="s">
        <v>149</v>
      </c>
      <c r="J22" s="5" t="s">
        <v>150</v>
      </c>
      <c r="K22" s="5" t="s">
        <v>151</v>
      </c>
      <c r="L22" s="7">
        <v>44606</v>
      </c>
      <c r="M22" s="7">
        <v>46220</v>
      </c>
      <c r="N22" s="10" t="s">
        <v>2493</v>
      </c>
      <c r="O22" s="5" t="s">
        <v>2494</v>
      </c>
      <c r="P22" s="5" t="s">
        <v>2495</v>
      </c>
      <c r="Q22" s="6"/>
      <c r="R22" s="6"/>
      <c r="S22" s="6" t="s">
        <v>2473</v>
      </c>
    </row>
    <row r="23" spans="1:19" x14ac:dyDescent="0.35">
      <c r="A23" s="5" t="s">
        <v>2567</v>
      </c>
      <c r="B23" s="5" t="s">
        <v>2568</v>
      </c>
      <c r="C23" s="5" t="s">
        <v>2569</v>
      </c>
      <c r="D23" s="5" t="s">
        <v>17</v>
      </c>
      <c r="E23" s="5" t="s">
        <v>19</v>
      </c>
      <c r="F23" s="5" t="s">
        <v>50</v>
      </c>
      <c r="G23" s="53" t="s">
        <v>2476</v>
      </c>
      <c r="H23" s="31" t="s">
        <v>101</v>
      </c>
      <c r="I23" s="5"/>
      <c r="J23" s="5" t="s">
        <v>106</v>
      </c>
      <c r="K23" s="5" t="s">
        <v>61</v>
      </c>
      <c r="L23" s="7">
        <v>44655</v>
      </c>
      <c r="M23" s="7">
        <v>46276</v>
      </c>
      <c r="N23" s="10" t="s">
        <v>2493</v>
      </c>
      <c r="O23" s="5" t="s">
        <v>2494</v>
      </c>
      <c r="P23" s="5" t="s">
        <v>2495</v>
      </c>
      <c r="Q23" s="6"/>
      <c r="R23" s="6"/>
      <c r="S23" s="6" t="s">
        <v>2473</v>
      </c>
    </row>
    <row r="24" spans="1:19" x14ac:dyDescent="0.35">
      <c r="A24" s="5" t="s">
        <v>2570</v>
      </c>
      <c r="B24" s="5" t="s">
        <v>2571</v>
      </c>
      <c r="C24" s="5" t="s">
        <v>2572</v>
      </c>
      <c r="D24" s="5" t="s">
        <v>28</v>
      </c>
      <c r="E24" s="5" t="s">
        <v>130</v>
      </c>
      <c r="F24" s="5" t="s">
        <v>50</v>
      </c>
      <c r="G24" s="53" t="s">
        <v>2476</v>
      </c>
      <c r="H24" s="5" t="s">
        <v>3605</v>
      </c>
      <c r="I24" s="5"/>
      <c r="J24" s="5" t="s">
        <v>230</v>
      </c>
      <c r="K24" s="5" t="s">
        <v>250</v>
      </c>
      <c r="L24" s="7">
        <v>44676</v>
      </c>
      <c r="M24" s="7">
        <v>46276</v>
      </c>
      <c r="N24" s="10" t="s">
        <v>2493</v>
      </c>
      <c r="O24" s="5" t="s">
        <v>2494</v>
      </c>
      <c r="P24" s="5" t="s">
        <v>2573</v>
      </c>
      <c r="Q24" s="6"/>
      <c r="R24" s="6"/>
      <c r="S24" s="6" t="s">
        <v>2473</v>
      </c>
    </row>
    <row r="25" spans="1:19" x14ac:dyDescent="0.35">
      <c r="A25" s="5" t="s">
        <v>2574</v>
      </c>
      <c r="B25" s="5" t="s">
        <v>2575</v>
      </c>
      <c r="C25" s="5" t="s">
        <v>2576</v>
      </c>
      <c r="D25" s="5" t="s">
        <v>17</v>
      </c>
      <c r="E25" s="5" t="s">
        <v>19</v>
      </c>
      <c r="F25" s="5" t="s">
        <v>37</v>
      </c>
      <c r="G25" s="53" t="s">
        <v>2476</v>
      </c>
      <c r="H25" s="5" t="s">
        <v>3606</v>
      </c>
      <c r="I25" s="5"/>
      <c r="J25" s="5" t="s">
        <v>230</v>
      </c>
      <c r="K25" s="5" t="s">
        <v>835</v>
      </c>
      <c r="L25" s="7">
        <v>44733</v>
      </c>
      <c r="M25" s="7">
        <v>46140</v>
      </c>
      <c r="N25" s="10" t="s">
        <v>683</v>
      </c>
      <c r="O25" s="5" t="s">
        <v>2486</v>
      </c>
      <c r="P25" s="5" t="s">
        <v>2547</v>
      </c>
      <c r="Q25" s="6"/>
      <c r="R25" s="6"/>
      <c r="S25" s="6" t="s">
        <v>2473</v>
      </c>
    </row>
    <row r="26" spans="1:19" x14ac:dyDescent="0.35">
      <c r="A26" s="5" t="s">
        <v>2577</v>
      </c>
      <c r="B26" s="5" t="s">
        <v>2578</v>
      </c>
      <c r="C26" s="5" t="s">
        <v>2579</v>
      </c>
      <c r="D26" s="5" t="s">
        <v>28</v>
      </c>
      <c r="E26" s="5" t="s">
        <v>1583</v>
      </c>
      <c r="F26" s="5" t="s">
        <v>241</v>
      </c>
      <c r="G26" s="5" t="s">
        <v>242</v>
      </c>
      <c r="H26" s="5" t="s">
        <v>242</v>
      </c>
      <c r="I26" s="5" t="s">
        <v>39</v>
      </c>
      <c r="J26" s="5" t="s">
        <v>2580</v>
      </c>
      <c r="K26" s="5" t="s">
        <v>470</v>
      </c>
      <c r="L26" s="7">
        <v>44746</v>
      </c>
      <c r="M26" s="7">
        <v>46213</v>
      </c>
      <c r="N26" s="10" t="s">
        <v>2493</v>
      </c>
      <c r="O26" s="5" t="s">
        <v>2486</v>
      </c>
      <c r="P26" s="5" t="s">
        <v>2581</v>
      </c>
      <c r="Q26" s="6"/>
      <c r="R26" s="6"/>
      <c r="S26" s="52" t="s">
        <v>2582</v>
      </c>
    </row>
    <row r="27" spans="1:19" x14ac:dyDescent="0.35">
      <c r="A27" s="5" t="s">
        <v>2583</v>
      </c>
      <c r="B27" s="5" t="s">
        <v>2584</v>
      </c>
      <c r="C27" s="5" t="s">
        <v>2585</v>
      </c>
      <c r="D27" s="5" t="s">
        <v>17</v>
      </c>
      <c r="E27" s="5" t="s">
        <v>19</v>
      </c>
      <c r="F27" s="5" t="s">
        <v>29</v>
      </c>
      <c r="G27" s="5" t="s">
        <v>395</v>
      </c>
      <c r="H27" s="5" t="s">
        <v>395</v>
      </c>
      <c r="I27" s="5"/>
      <c r="J27" s="5" t="s">
        <v>187</v>
      </c>
      <c r="K27" s="5" t="s">
        <v>188</v>
      </c>
      <c r="L27" s="7">
        <v>44817</v>
      </c>
      <c r="M27" s="7">
        <v>46146</v>
      </c>
      <c r="N27" s="10" t="s">
        <v>683</v>
      </c>
      <c r="O27" s="5" t="s">
        <v>2486</v>
      </c>
      <c r="P27" s="5" t="s">
        <v>2514</v>
      </c>
      <c r="Q27" s="6" t="s">
        <v>56</v>
      </c>
      <c r="R27" s="6" t="s">
        <v>18</v>
      </c>
      <c r="S27" s="6" t="s">
        <v>2515</v>
      </c>
    </row>
    <row r="28" spans="1:19" x14ac:dyDescent="0.35">
      <c r="A28" s="5" t="s">
        <v>2586</v>
      </c>
      <c r="B28" s="5" t="s">
        <v>2587</v>
      </c>
      <c r="C28" s="5" t="s">
        <v>2588</v>
      </c>
      <c r="D28" s="5" t="s">
        <v>28</v>
      </c>
      <c r="E28" s="5" t="s">
        <v>19</v>
      </c>
      <c r="F28" s="5" t="s">
        <v>20</v>
      </c>
      <c r="G28" s="5" t="s">
        <v>20</v>
      </c>
      <c r="H28" s="5" t="s">
        <v>20</v>
      </c>
      <c r="I28" s="5" t="s">
        <v>1544</v>
      </c>
      <c r="J28" s="5" t="s">
        <v>2589</v>
      </c>
      <c r="K28" s="5" t="s">
        <v>2537</v>
      </c>
      <c r="L28" s="7">
        <v>44886</v>
      </c>
      <c r="M28" s="7">
        <v>46101</v>
      </c>
      <c r="N28" s="10" t="s">
        <v>2485</v>
      </c>
      <c r="O28" s="5" t="s">
        <v>2494</v>
      </c>
      <c r="P28" s="5" t="s">
        <v>2499</v>
      </c>
      <c r="Q28" s="6"/>
      <c r="R28" s="6"/>
      <c r="S28" s="6" t="s">
        <v>2473</v>
      </c>
    </row>
    <row r="29" spans="1:19" x14ac:dyDescent="0.35">
      <c r="A29" s="5" t="s">
        <v>2590</v>
      </c>
      <c r="B29" s="5" t="s">
        <v>2591</v>
      </c>
      <c r="C29" s="5" t="s">
        <v>2592</v>
      </c>
      <c r="D29" s="5" t="s">
        <v>17</v>
      </c>
      <c r="E29" s="5" t="s">
        <v>19</v>
      </c>
      <c r="F29" s="5" t="s">
        <v>29</v>
      </c>
      <c r="G29" s="53" t="s">
        <v>2476</v>
      </c>
      <c r="H29" s="5" t="s">
        <v>3606</v>
      </c>
      <c r="I29" s="5"/>
      <c r="J29" s="5" t="s">
        <v>230</v>
      </c>
      <c r="K29" s="5" t="s">
        <v>120</v>
      </c>
      <c r="L29" s="7">
        <v>44970</v>
      </c>
      <c r="M29" s="7">
        <v>46227</v>
      </c>
      <c r="N29" s="10" t="s">
        <v>2493</v>
      </c>
      <c r="O29" s="5" t="s">
        <v>2494</v>
      </c>
      <c r="P29" s="5" t="s">
        <v>2495</v>
      </c>
      <c r="Q29" s="6"/>
      <c r="R29" s="6"/>
      <c r="S29" s="6" t="s">
        <v>2473</v>
      </c>
    </row>
    <row r="30" spans="1:19" x14ac:dyDescent="0.35">
      <c r="A30" s="5" t="s">
        <v>2593</v>
      </c>
      <c r="B30" s="5" t="s">
        <v>2594</v>
      </c>
      <c r="C30" s="5" t="s">
        <v>2595</v>
      </c>
      <c r="D30" s="5" t="s">
        <v>17</v>
      </c>
      <c r="E30" s="5" t="s">
        <v>19</v>
      </c>
      <c r="F30" s="5" t="s">
        <v>50</v>
      </c>
      <c r="G30" s="53" t="s">
        <v>2476</v>
      </c>
      <c r="H30" s="5" t="s">
        <v>3605</v>
      </c>
      <c r="I30" s="5"/>
      <c r="J30" s="5" t="s">
        <v>230</v>
      </c>
      <c r="K30" s="5" t="s">
        <v>61</v>
      </c>
      <c r="L30" s="7">
        <v>45019</v>
      </c>
      <c r="M30" s="7">
        <v>46154</v>
      </c>
      <c r="N30" s="10" t="s">
        <v>683</v>
      </c>
      <c r="O30" s="5" t="s">
        <v>2494</v>
      </c>
      <c r="P30" s="5" t="s">
        <v>2499</v>
      </c>
      <c r="Q30" s="6"/>
      <c r="R30" s="6"/>
      <c r="S30" s="6" t="s">
        <v>2473</v>
      </c>
    </row>
    <row r="31" spans="1:19" x14ac:dyDescent="0.35">
      <c r="A31" s="5" t="s">
        <v>427</v>
      </c>
      <c r="B31" s="5" t="s">
        <v>426</v>
      </c>
      <c r="C31" s="5" t="s">
        <v>2596</v>
      </c>
      <c r="D31" s="5" t="s">
        <v>28</v>
      </c>
      <c r="E31" s="5" t="s">
        <v>19</v>
      </c>
      <c r="F31" s="5" t="s">
        <v>20</v>
      </c>
      <c r="G31" s="5" t="s">
        <v>20</v>
      </c>
      <c r="H31" s="5" t="s">
        <v>20</v>
      </c>
      <c r="I31" s="5" t="s">
        <v>165</v>
      </c>
      <c r="J31" s="5" t="s">
        <v>175</v>
      </c>
      <c r="K31" s="5" t="s">
        <v>163</v>
      </c>
      <c r="L31" s="7">
        <v>45068</v>
      </c>
      <c r="M31" s="7">
        <v>46171</v>
      </c>
      <c r="N31" s="10" t="s">
        <v>683</v>
      </c>
      <c r="O31" s="5" t="s">
        <v>2494</v>
      </c>
      <c r="P31" s="5" t="s">
        <v>2538</v>
      </c>
      <c r="Q31" s="6"/>
      <c r="R31" s="6"/>
      <c r="S31" s="6" t="s">
        <v>2473</v>
      </c>
    </row>
    <row r="32" spans="1:19" x14ac:dyDescent="0.35">
      <c r="A32" s="5" t="s">
        <v>2597</v>
      </c>
      <c r="B32" s="5" t="s">
        <v>2598</v>
      </c>
      <c r="C32" s="5" t="s">
        <v>2599</v>
      </c>
      <c r="D32" s="5" t="s">
        <v>28</v>
      </c>
      <c r="E32" s="5" t="s">
        <v>19</v>
      </c>
      <c r="F32" s="5" t="s">
        <v>29</v>
      </c>
      <c r="G32" s="5" t="s">
        <v>395</v>
      </c>
      <c r="H32" s="5" t="s">
        <v>395</v>
      </c>
      <c r="I32" s="5"/>
      <c r="J32" s="5" t="s">
        <v>506</v>
      </c>
      <c r="K32" s="5" t="s">
        <v>188</v>
      </c>
      <c r="L32" s="7">
        <v>45093</v>
      </c>
      <c r="M32" s="7">
        <v>46164</v>
      </c>
      <c r="N32" s="10" t="s">
        <v>683</v>
      </c>
      <c r="O32" s="5" t="s">
        <v>2494</v>
      </c>
      <c r="P32" s="5" t="s">
        <v>2538</v>
      </c>
      <c r="Q32" s="6" t="s">
        <v>56</v>
      </c>
      <c r="R32" s="6" t="s">
        <v>33</v>
      </c>
      <c r="S32" s="6" t="s">
        <v>2475</v>
      </c>
    </row>
    <row r="33" spans="1:19" x14ac:dyDescent="0.35">
      <c r="A33" s="5" t="s">
        <v>2600</v>
      </c>
      <c r="B33" s="5" t="s">
        <v>2601</v>
      </c>
      <c r="C33" s="5" t="s">
        <v>2602</v>
      </c>
      <c r="D33" s="5" t="s">
        <v>28</v>
      </c>
      <c r="E33" s="5" t="s">
        <v>156</v>
      </c>
      <c r="F33" s="5" t="s">
        <v>241</v>
      </c>
      <c r="G33" s="5" t="s">
        <v>242</v>
      </c>
      <c r="H33" s="5" t="s">
        <v>242</v>
      </c>
      <c r="I33" s="5" t="s">
        <v>468</v>
      </c>
      <c r="J33" s="5" t="s">
        <v>2603</v>
      </c>
      <c r="K33" s="5" t="s">
        <v>470</v>
      </c>
      <c r="L33" s="7">
        <v>45119</v>
      </c>
      <c r="M33" s="7">
        <v>46113</v>
      </c>
      <c r="N33" s="10" t="s">
        <v>683</v>
      </c>
      <c r="O33" s="5" t="s">
        <v>2486</v>
      </c>
      <c r="P33" s="5" t="s">
        <v>2581</v>
      </c>
      <c r="Q33" s="6"/>
      <c r="R33" s="6"/>
      <c r="S33" s="52" t="s">
        <v>2582</v>
      </c>
    </row>
    <row r="34" spans="1:19" x14ac:dyDescent="0.35">
      <c r="A34" s="5" t="s">
        <v>2604</v>
      </c>
      <c r="B34" s="5" t="s">
        <v>2605</v>
      </c>
      <c r="C34" s="5" t="s">
        <v>2606</v>
      </c>
      <c r="D34" s="5" t="s">
        <v>17</v>
      </c>
      <c r="E34" s="5" t="s">
        <v>19</v>
      </c>
      <c r="F34" s="5" t="s">
        <v>29</v>
      </c>
      <c r="G34" s="5" t="s">
        <v>395</v>
      </c>
      <c r="H34" s="5" t="s">
        <v>395</v>
      </c>
      <c r="I34" s="5"/>
      <c r="J34" s="5" t="s">
        <v>187</v>
      </c>
      <c r="K34" s="5" t="s">
        <v>188</v>
      </c>
      <c r="L34" s="7">
        <v>45141</v>
      </c>
      <c r="M34" s="7">
        <v>46267</v>
      </c>
      <c r="N34" s="10" t="s">
        <v>2493</v>
      </c>
      <c r="O34" s="5" t="s">
        <v>2494</v>
      </c>
      <c r="P34" s="5" t="s">
        <v>2495</v>
      </c>
      <c r="Q34" s="6" t="s">
        <v>56</v>
      </c>
      <c r="R34" s="6" t="s">
        <v>33</v>
      </c>
      <c r="S34" s="6" t="s">
        <v>2475</v>
      </c>
    </row>
    <row r="35" spans="1:19" x14ac:dyDescent="0.35">
      <c r="A35" s="5" t="s">
        <v>2607</v>
      </c>
      <c r="B35" s="5" t="s">
        <v>2608</v>
      </c>
      <c r="C35" s="5" t="s">
        <v>2609</v>
      </c>
      <c r="D35" s="5" t="s">
        <v>28</v>
      </c>
      <c r="E35" s="5" t="s">
        <v>19</v>
      </c>
      <c r="F35" s="5" t="s">
        <v>50</v>
      </c>
      <c r="G35" s="53" t="s">
        <v>2476</v>
      </c>
      <c r="H35" s="5" t="s">
        <v>3605</v>
      </c>
      <c r="I35" s="5"/>
      <c r="J35" s="5" t="s">
        <v>230</v>
      </c>
      <c r="K35" s="5" t="s">
        <v>81</v>
      </c>
      <c r="L35" s="7">
        <v>45159</v>
      </c>
      <c r="M35" s="7">
        <v>46091</v>
      </c>
      <c r="N35" s="10" t="s">
        <v>2485</v>
      </c>
      <c r="O35" s="5" t="s">
        <v>2486</v>
      </c>
      <c r="P35" s="5" t="s">
        <v>2547</v>
      </c>
      <c r="Q35" s="6"/>
      <c r="R35" s="6"/>
      <c r="S35" s="6" t="s">
        <v>2473</v>
      </c>
    </row>
    <row r="36" spans="1:19" x14ac:dyDescent="0.35">
      <c r="A36" s="5" t="s">
        <v>2610</v>
      </c>
      <c r="B36" s="5" t="s">
        <v>2611</v>
      </c>
      <c r="C36" s="5" t="s">
        <v>2612</v>
      </c>
      <c r="D36" s="5" t="s">
        <v>17</v>
      </c>
      <c r="E36" s="5" t="s">
        <v>156</v>
      </c>
      <c r="F36" s="5" t="s">
        <v>50</v>
      </c>
      <c r="G36" s="53" t="s">
        <v>2476</v>
      </c>
      <c r="H36" s="5" t="s">
        <v>3605</v>
      </c>
      <c r="I36" s="5"/>
      <c r="J36" s="5" t="s">
        <v>230</v>
      </c>
      <c r="K36" s="5" t="s">
        <v>250</v>
      </c>
      <c r="L36" s="7">
        <v>45187</v>
      </c>
      <c r="M36" s="7">
        <v>46191</v>
      </c>
      <c r="N36" s="10" t="s">
        <v>683</v>
      </c>
      <c r="O36" s="5" t="s">
        <v>2494</v>
      </c>
      <c r="P36" s="5" t="s">
        <v>2499</v>
      </c>
      <c r="Q36" s="6"/>
      <c r="R36" s="6"/>
      <c r="S36" s="6" t="s">
        <v>2473</v>
      </c>
    </row>
    <row r="37" spans="1:19" x14ac:dyDescent="0.35">
      <c r="A37" s="5" t="s">
        <v>2613</v>
      </c>
      <c r="B37" s="5" t="s">
        <v>2614</v>
      </c>
      <c r="C37" s="5" t="s">
        <v>2615</v>
      </c>
      <c r="D37" s="5" t="s">
        <v>17</v>
      </c>
      <c r="E37" s="5" t="s">
        <v>156</v>
      </c>
      <c r="F37" s="5" t="s">
        <v>241</v>
      </c>
      <c r="G37" s="5" t="s">
        <v>242</v>
      </c>
      <c r="H37" s="5" t="s">
        <v>242</v>
      </c>
      <c r="I37" s="5" t="s">
        <v>468</v>
      </c>
      <c r="J37" s="5" t="s">
        <v>2616</v>
      </c>
      <c r="K37" s="5" t="s">
        <v>470</v>
      </c>
      <c r="L37" s="7">
        <v>45183</v>
      </c>
      <c r="M37" s="7">
        <v>46105</v>
      </c>
      <c r="N37" s="10" t="s">
        <v>2485</v>
      </c>
      <c r="O37" s="5" t="s">
        <v>2486</v>
      </c>
      <c r="P37" s="5" t="s">
        <v>2581</v>
      </c>
      <c r="Q37" s="6"/>
      <c r="R37" s="6"/>
      <c r="S37" s="52" t="s">
        <v>2582</v>
      </c>
    </row>
    <row r="38" spans="1:19" x14ac:dyDescent="0.35">
      <c r="A38" s="5" t="s">
        <v>2617</v>
      </c>
      <c r="B38" s="5" t="s">
        <v>2618</v>
      </c>
      <c r="C38" s="5" t="s">
        <v>2619</v>
      </c>
      <c r="D38" s="5" t="s">
        <v>28</v>
      </c>
      <c r="E38" s="5" t="s">
        <v>19</v>
      </c>
      <c r="F38" s="5" t="s">
        <v>29</v>
      </c>
      <c r="G38" s="5" t="s">
        <v>395</v>
      </c>
      <c r="H38" s="5" t="s">
        <v>395</v>
      </c>
      <c r="I38" s="5"/>
      <c r="J38" s="5" t="s">
        <v>2620</v>
      </c>
      <c r="K38" s="5" t="s">
        <v>188</v>
      </c>
      <c r="L38" s="7">
        <v>45194</v>
      </c>
      <c r="M38" s="7">
        <v>46045</v>
      </c>
      <c r="N38" s="10" t="s">
        <v>2485</v>
      </c>
      <c r="O38" s="5" t="s">
        <v>2486</v>
      </c>
      <c r="P38" s="5" t="s">
        <v>2514</v>
      </c>
      <c r="Q38" s="6" t="s">
        <v>76</v>
      </c>
      <c r="R38" s="6" t="s">
        <v>18</v>
      </c>
      <c r="S38" s="6" t="s">
        <v>2515</v>
      </c>
    </row>
    <row r="39" spans="1:19" x14ac:dyDescent="0.35">
      <c r="A39" s="5" t="s">
        <v>2621</v>
      </c>
      <c r="B39" s="5" t="s">
        <v>2622</v>
      </c>
      <c r="C39" s="5" t="s">
        <v>2623</v>
      </c>
      <c r="D39" s="5" t="s">
        <v>28</v>
      </c>
      <c r="E39" s="5" t="s">
        <v>19</v>
      </c>
      <c r="F39" s="5" t="s">
        <v>50</v>
      </c>
      <c r="G39" s="53" t="s">
        <v>2476</v>
      </c>
      <c r="H39" s="5" t="s">
        <v>3605</v>
      </c>
      <c r="I39" s="5"/>
      <c r="J39" s="5" t="s">
        <v>370</v>
      </c>
      <c r="K39" s="5" t="s">
        <v>274</v>
      </c>
      <c r="L39" s="7">
        <v>45202</v>
      </c>
      <c r="M39" s="7">
        <v>46091</v>
      </c>
      <c r="N39" s="10" t="s">
        <v>2485</v>
      </c>
      <c r="O39" s="5" t="s">
        <v>2486</v>
      </c>
      <c r="P39" s="5" t="s">
        <v>2547</v>
      </c>
      <c r="Q39" s="6"/>
      <c r="R39" s="6"/>
      <c r="S39" s="6" t="s">
        <v>2473</v>
      </c>
    </row>
    <row r="40" spans="1:19" x14ac:dyDescent="0.35">
      <c r="A40" s="5" t="s">
        <v>2624</v>
      </c>
      <c r="B40" s="5" t="s">
        <v>2625</v>
      </c>
      <c r="C40" s="5" t="s">
        <v>2626</v>
      </c>
      <c r="D40" s="5" t="s">
        <v>28</v>
      </c>
      <c r="E40" s="5" t="s">
        <v>156</v>
      </c>
      <c r="F40" s="5" t="s">
        <v>20</v>
      </c>
      <c r="G40" s="5" t="s">
        <v>20</v>
      </c>
      <c r="H40" s="5" t="s">
        <v>20</v>
      </c>
      <c r="I40" s="5" t="s">
        <v>157</v>
      </c>
      <c r="J40" s="5" t="s">
        <v>1556</v>
      </c>
      <c r="K40" s="5" t="s">
        <v>154</v>
      </c>
      <c r="L40" s="7">
        <v>45229</v>
      </c>
      <c r="M40" s="7">
        <v>46142</v>
      </c>
      <c r="N40" s="10" t="s">
        <v>683</v>
      </c>
      <c r="O40" s="5" t="s">
        <v>2494</v>
      </c>
      <c r="P40" s="5" t="s">
        <v>2499</v>
      </c>
      <c r="Q40" s="6"/>
      <c r="R40" s="6"/>
      <c r="S40" s="6" t="s">
        <v>2473</v>
      </c>
    </row>
    <row r="41" spans="1:19" x14ac:dyDescent="0.35">
      <c r="A41" s="5" t="s">
        <v>836</v>
      </c>
      <c r="B41" s="5" t="s">
        <v>835</v>
      </c>
      <c r="C41" s="5" t="s">
        <v>2627</v>
      </c>
      <c r="D41" s="5" t="s">
        <v>17</v>
      </c>
      <c r="E41" s="5" t="s">
        <v>19</v>
      </c>
      <c r="F41" s="5" t="s">
        <v>37</v>
      </c>
      <c r="G41" s="53" t="s">
        <v>2476</v>
      </c>
      <c r="H41" s="5" t="s">
        <v>3606</v>
      </c>
      <c r="I41" s="5"/>
      <c r="J41" s="5" t="s">
        <v>91</v>
      </c>
      <c r="K41" s="5" t="s">
        <v>35</v>
      </c>
      <c r="L41" s="7">
        <v>45232</v>
      </c>
      <c r="M41" s="7">
        <v>46276</v>
      </c>
      <c r="N41" s="10" t="s">
        <v>2493</v>
      </c>
      <c r="O41" s="5" t="s">
        <v>2494</v>
      </c>
      <c r="P41" s="5" t="s">
        <v>2495</v>
      </c>
      <c r="Q41" s="6"/>
      <c r="R41" s="6"/>
      <c r="S41" s="6" t="s">
        <v>2473</v>
      </c>
    </row>
    <row r="42" spans="1:19" x14ac:dyDescent="0.35">
      <c r="A42" s="5" t="s">
        <v>2628</v>
      </c>
      <c r="B42" s="5" t="s">
        <v>274</v>
      </c>
      <c r="C42" s="5" t="s">
        <v>2629</v>
      </c>
      <c r="D42" s="5" t="s">
        <v>17</v>
      </c>
      <c r="E42" s="5" t="s">
        <v>19</v>
      </c>
      <c r="F42" s="5" t="s">
        <v>50</v>
      </c>
      <c r="G42" s="53" t="s">
        <v>2476</v>
      </c>
      <c r="H42" s="5" t="s">
        <v>3605</v>
      </c>
      <c r="I42" s="5"/>
      <c r="J42" s="5" t="s">
        <v>60</v>
      </c>
      <c r="K42" s="5" t="s">
        <v>61</v>
      </c>
      <c r="L42" s="7">
        <v>45250</v>
      </c>
      <c r="M42" s="7">
        <v>46220</v>
      </c>
      <c r="N42" s="10" t="s">
        <v>2493</v>
      </c>
      <c r="O42" s="5" t="s">
        <v>2494</v>
      </c>
      <c r="P42" s="5" t="s">
        <v>2499</v>
      </c>
      <c r="Q42" s="6"/>
      <c r="R42" s="6"/>
      <c r="S42" s="6" t="s">
        <v>2473</v>
      </c>
    </row>
    <row r="43" spans="1:19" x14ac:dyDescent="0.35">
      <c r="A43" s="5" t="s">
        <v>2630</v>
      </c>
      <c r="B43" s="5" t="s">
        <v>2631</v>
      </c>
      <c r="C43" s="5" t="s">
        <v>2632</v>
      </c>
      <c r="D43" s="5" t="s">
        <v>28</v>
      </c>
      <c r="E43" s="5" t="s">
        <v>130</v>
      </c>
      <c r="F43" s="5" t="s">
        <v>241</v>
      </c>
      <c r="G43" s="5" t="s">
        <v>242</v>
      </c>
      <c r="H43" s="5" t="s">
        <v>242</v>
      </c>
      <c r="I43" s="5" t="s">
        <v>138</v>
      </c>
      <c r="J43" s="5" t="s">
        <v>2633</v>
      </c>
      <c r="K43" s="5" t="s">
        <v>426</v>
      </c>
      <c r="L43" s="7">
        <v>45258</v>
      </c>
      <c r="M43" s="7">
        <v>46203</v>
      </c>
      <c r="N43" s="10" t="s">
        <v>683</v>
      </c>
      <c r="O43" s="5" t="s">
        <v>2486</v>
      </c>
      <c r="P43" s="5" t="s">
        <v>2581</v>
      </c>
      <c r="Q43" s="6"/>
      <c r="R43" s="6"/>
      <c r="S43" s="52" t="s">
        <v>2582</v>
      </c>
    </row>
    <row r="44" spans="1:19" x14ac:dyDescent="0.35">
      <c r="A44" s="5" t="s">
        <v>2634</v>
      </c>
      <c r="B44" s="5" t="s">
        <v>2635</v>
      </c>
      <c r="C44" s="5" t="s">
        <v>2636</v>
      </c>
      <c r="D44" s="5" t="s">
        <v>17</v>
      </c>
      <c r="E44" s="5" t="s">
        <v>156</v>
      </c>
      <c r="F44" s="5" t="s">
        <v>50</v>
      </c>
      <c r="G44" s="53" t="s">
        <v>2476</v>
      </c>
      <c r="H44" s="5" t="s">
        <v>3605</v>
      </c>
      <c r="I44" s="5"/>
      <c r="J44" s="5" t="s">
        <v>230</v>
      </c>
      <c r="K44" s="5" t="s">
        <v>250</v>
      </c>
      <c r="L44" s="7">
        <v>45257</v>
      </c>
      <c r="M44" s="7">
        <v>46171</v>
      </c>
      <c r="N44" s="10" t="s">
        <v>683</v>
      </c>
      <c r="O44" s="5" t="s">
        <v>2494</v>
      </c>
      <c r="P44" s="5" t="s">
        <v>2499</v>
      </c>
      <c r="Q44" s="6"/>
      <c r="R44" s="6"/>
      <c r="S44" s="6" t="s">
        <v>2473</v>
      </c>
    </row>
    <row r="45" spans="1:19" x14ac:dyDescent="0.35">
      <c r="A45" s="5" t="s">
        <v>2637</v>
      </c>
      <c r="B45" s="5" t="s">
        <v>2638</v>
      </c>
      <c r="C45" s="5" t="s">
        <v>2639</v>
      </c>
      <c r="D45" s="5" t="s">
        <v>17</v>
      </c>
      <c r="E45" s="5" t="s">
        <v>19</v>
      </c>
      <c r="F45" s="5" t="s">
        <v>20</v>
      </c>
      <c r="G45" s="5" t="s">
        <v>20</v>
      </c>
      <c r="H45" s="5" t="s">
        <v>20</v>
      </c>
      <c r="I45" s="5" t="s">
        <v>165</v>
      </c>
      <c r="J45" s="5" t="s">
        <v>2640</v>
      </c>
      <c r="K45" s="5" t="s">
        <v>163</v>
      </c>
      <c r="L45" s="7">
        <v>45271</v>
      </c>
      <c r="M45" s="7">
        <v>46136</v>
      </c>
      <c r="N45" s="10" t="s">
        <v>683</v>
      </c>
      <c r="O45" s="5" t="s">
        <v>2494</v>
      </c>
      <c r="P45" s="5" t="s">
        <v>2499</v>
      </c>
      <c r="Q45" s="6"/>
      <c r="R45" s="6"/>
      <c r="S45" s="6" t="s">
        <v>2473</v>
      </c>
    </row>
    <row r="46" spans="1:19" x14ac:dyDescent="0.35">
      <c r="A46" s="5" t="s">
        <v>2641</v>
      </c>
      <c r="B46" s="5" t="s">
        <v>2642</v>
      </c>
      <c r="C46" s="5" t="s">
        <v>2643</v>
      </c>
      <c r="D46" s="5" t="s">
        <v>28</v>
      </c>
      <c r="E46" s="5" t="s">
        <v>19</v>
      </c>
      <c r="F46" s="5" t="s">
        <v>241</v>
      </c>
      <c r="G46" s="5" t="s">
        <v>242</v>
      </c>
      <c r="H46" s="5" t="s">
        <v>242</v>
      </c>
      <c r="I46" s="5" t="s">
        <v>138</v>
      </c>
      <c r="J46" s="5" t="s">
        <v>2644</v>
      </c>
      <c r="K46" s="5" t="s">
        <v>426</v>
      </c>
      <c r="L46" s="7">
        <v>45272</v>
      </c>
      <c r="M46" s="7">
        <v>46052</v>
      </c>
      <c r="N46" s="10" t="s">
        <v>2485</v>
      </c>
      <c r="O46" s="5" t="s">
        <v>2486</v>
      </c>
      <c r="P46" s="5" t="s">
        <v>2581</v>
      </c>
      <c r="Q46" s="6"/>
      <c r="R46" s="6"/>
      <c r="S46" s="52" t="s">
        <v>2582</v>
      </c>
    </row>
    <row r="47" spans="1:19" x14ac:dyDescent="0.35">
      <c r="A47" s="5" t="s">
        <v>2645</v>
      </c>
      <c r="B47" s="5" t="s">
        <v>2646</v>
      </c>
      <c r="C47" s="5" t="s">
        <v>2647</v>
      </c>
      <c r="D47" s="5" t="s">
        <v>17</v>
      </c>
      <c r="E47" s="5" t="s">
        <v>225</v>
      </c>
      <c r="F47" s="5" t="s">
        <v>241</v>
      </c>
      <c r="G47" s="5" t="s">
        <v>242</v>
      </c>
      <c r="H47" s="5" t="s">
        <v>242</v>
      </c>
      <c r="I47" s="5" t="s">
        <v>76</v>
      </c>
      <c r="J47" s="5" t="s">
        <v>2648</v>
      </c>
      <c r="K47" s="5" t="s">
        <v>470</v>
      </c>
      <c r="L47" s="7">
        <v>45272</v>
      </c>
      <c r="M47" s="7">
        <v>46047</v>
      </c>
      <c r="N47" s="10" t="s">
        <v>2485</v>
      </c>
      <c r="O47" s="5" t="s">
        <v>2486</v>
      </c>
      <c r="P47" s="5" t="s">
        <v>2581</v>
      </c>
      <c r="Q47" s="6"/>
      <c r="R47" s="6"/>
      <c r="S47" s="52" t="s">
        <v>2582</v>
      </c>
    </row>
    <row r="48" spans="1:19" x14ac:dyDescent="0.35">
      <c r="A48" s="5" t="s">
        <v>2649</v>
      </c>
      <c r="B48" s="5" t="s">
        <v>2650</v>
      </c>
      <c r="C48" s="5" t="s">
        <v>2651</v>
      </c>
      <c r="D48" s="5" t="s">
        <v>17</v>
      </c>
      <c r="E48" s="5" t="s">
        <v>130</v>
      </c>
      <c r="F48" s="5" t="s">
        <v>29</v>
      </c>
      <c r="G48" s="5" t="s">
        <v>395</v>
      </c>
      <c r="H48" s="5" t="s">
        <v>395</v>
      </c>
      <c r="I48" s="5"/>
      <c r="J48" s="5" t="s">
        <v>2652</v>
      </c>
      <c r="K48" s="5" t="s">
        <v>188</v>
      </c>
      <c r="L48" s="7">
        <v>45301</v>
      </c>
      <c r="M48" s="7">
        <v>46052</v>
      </c>
      <c r="N48" s="10" t="s">
        <v>2485</v>
      </c>
      <c r="O48" s="5" t="s">
        <v>2486</v>
      </c>
      <c r="P48" s="5" t="s">
        <v>2514</v>
      </c>
      <c r="Q48" s="6" t="s">
        <v>2653</v>
      </c>
      <c r="R48" s="6" t="s">
        <v>18</v>
      </c>
      <c r="S48" s="6" t="s">
        <v>2515</v>
      </c>
    </row>
    <row r="49" spans="1:19" x14ac:dyDescent="0.35">
      <c r="A49" s="5" t="s">
        <v>2654</v>
      </c>
      <c r="B49" s="5" t="s">
        <v>2655</v>
      </c>
      <c r="C49" s="5" t="s">
        <v>2656</v>
      </c>
      <c r="D49" s="5" t="s">
        <v>17</v>
      </c>
      <c r="E49" s="5" t="s">
        <v>19</v>
      </c>
      <c r="F49" s="5" t="s">
        <v>50</v>
      </c>
      <c r="G49" s="53" t="s">
        <v>2476</v>
      </c>
      <c r="H49" s="5" t="s">
        <v>3605</v>
      </c>
      <c r="I49" s="5"/>
      <c r="J49" s="5" t="s">
        <v>370</v>
      </c>
      <c r="K49" s="5" t="s">
        <v>2657</v>
      </c>
      <c r="L49" s="7">
        <v>45327</v>
      </c>
      <c r="M49" s="7">
        <v>46134</v>
      </c>
      <c r="N49" s="10" t="s">
        <v>683</v>
      </c>
      <c r="O49" s="5" t="s">
        <v>2494</v>
      </c>
      <c r="P49" s="5" t="s">
        <v>2499</v>
      </c>
      <c r="Q49" s="6"/>
      <c r="R49" s="6"/>
      <c r="S49" s="6" t="s">
        <v>2473</v>
      </c>
    </row>
    <row r="50" spans="1:19" x14ac:dyDescent="0.35">
      <c r="A50" s="5" t="s">
        <v>2658</v>
      </c>
      <c r="B50" s="5" t="s">
        <v>2659</v>
      </c>
      <c r="C50" s="5" t="s">
        <v>2660</v>
      </c>
      <c r="D50" s="5" t="s">
        <v>17</v>
      </c>
      <c r="E50" s="5" t="s">
        <v>156</v>
      </c>
      <c r="F50" s="5" t="s">
        <v>241</v>
      </c>
      <c r="G50" s="5" t="s">
        <v>242</v>
      </c>
      <c r="H50" s="5" t="s">
        <v>242</v>
      </c>
      <c r="I50" s="5" t="s">
        <v>827</v>
      </c>
      <c r="J50" s="5" t="s">
        <v>1405</v>
      </c>
      <c r="K50" s="5" t="s">
        <v>426</v>
      </c>
      <c r="L50" s="7">
        <v>45357</v>
      </c>
      <c r="M50" s="7">
        <v>46037</v>
      </c>
      <c r="N50" s="10" t="s">
        <v>2485</v>
      </c>
      <c r="O50" s="5" t="s">
        <v>2486</v>
      </c>
      <c r="P50" s="5" t="s">
        <v>2661</v>
      </c>
      <c r="Q50" s="6"/>
      <c r="R50" s="6"/>
      <c r="S50" s="52" t="s">
        <v>2488</v>
      </c>
    </row>
    <row r="51" spans="1:19" x14ac:dyDescent="0.35">
      <c r="A51" s="5" t="s">
        <v>2662</v>
      </c>
      <c r="B51" s="5" t="s">
        <v>2663</v>
      </c>
      <c r="C51" s="5" t="s">
        <v>2664</v>
      </c>
      <c r="D51" s="5" t="s">
        <v>17</v>
      </c>
      <c r="E51" s="5" t="s">
        <v>19</v>
      </c>
      <c r="F51" s="5" t="s">
        <v>37</v>
      </c>
      <c r="G51" s="53" t="s">
        <v>2476</v>
      </c>
      <c r="H51" s="5" t="s">
        <v>3606</v>
      </c>
      <c r="I51" s="5"/>
      <c r="J51" s="5" t="s">
        <v>119</v>
      </c>
      <c r="K51" s="5" t="s">
        <v>35</v>
      </c>
      <c r="L51" s="7">
        <v>45397</v>
      </c>
      <c r="M51" s="7">
        <v>46087</v>
      </c>
      <c r="N51" s="10" t="s">
        <v>2485</v>
      </c>
      <c r="O51" s="5" t="s">
        <v>2486</v>
      </c>
      <c r="P51" s="5" t="s">
        <v>2547</v>
      </c>
      <c r="Q51" s="6"/>
      <c r="R51" s="6"/>
      <c r="S51" s="6" t="s">
        <v>2473</v>
      </c>
    </row>
    <row r="52" spans="1:19" x14ac:dyDescent="0.35">
      <c r="A52" s="5" t="s">
        <v>2665</v>
      </c>
      <c r="B52" s="5" t="s">
        <v>2666</v>
      </c>
      <c r="C52" s="5" t="s">
        <v>2667</v>
      </c>
      <c r="D52" s="5" t="s">
        <v>17</v>
      </c>
      <c r="E52" s="5" t="s">
        <v>19</v>
      </c>
      <c r="F52" s="5" t="s">
        <v>37</v>
      </c>
      <c r="G52" s="53" t="s">
        <v>2476</v>
      </c>
      <c r="H52" s="5" t="s">
        <v>3606</v>
      </c>
      <c r="I52" s="5"/>
      <c r="J52" s="5" t="s">
        <v>230</v>
      </c>
      <c r="K52" s="5" t="s">
        <v>174</v>
      </c>
      <c r="L52" s="7">
        <v>45362</v>
      </c>
      <c r="M52" s="7">
        <v>46136</v>
      </c>
      <c r="N52" s="10" t="s">
        <v>683</v>
      </c>
      <c r="O52" s="5" t="s">
        <v>2494</v>
      </c>
      <c r="P52" s="5" t="s">
        <v>2495</v>
      </c>
      <c r="Q52" s="6"/>
      <c r="R52" s="6"/>
      <c r="S52" s="6" t="s">
        <v>2473</v>
      </c>
    </row>
    <row r="53" spans="1:19" x14ac:dyDescent="0.35">
      <c r="A53" s="5" t="s">
        <v>2668</v>
      </c>
      <c r="B53" s="5" t="s">
        <v>2669</v>
      </c>
      <c r="C53" s="5" t="s">
        <v>2670</v>
      </c>
      <c r="D53" s="5" t="s">
        <v>17</v>
      </c>
      <c r="E53" s="5" t="s">
        <v>19</v>
      </c>
      <c r="F53" s="5" t="s">
        <v>29</v>
      </c>
      <c r="G53" s="53" t="s">
        <v>2476</v>
      </c>
      <c r="H53" s="5" t="s">
        <v>3606</v>
      </c>
      <c r="I53" s="5"/>
      <c r="J53" s="5" t="s">
        <v>394</v>
      </c>
      <c r="K53" s="5" t="s">
        <v>120</v>
      </c>
      <c r="L53" s="7">
        <v>45369</v>
      </c>
      <c r="M53" s="7">
        <v>46122</v>
      </c>
      <c r="N53" s="10" t="s">
        <v>683</v>
      </c>
      <c r="O53" s="5" t="s">
        <v>2494</v>
      </c>
      <c r="P53" s="5" t="s">
        <v>2495</v>
      </c>
      <c r="Q53" s="6"/>
      <c r="R53" s="6"/>
      <c r="S53" s="6" t="s">
        <v>2473</v>
      </c>
    </row>
    <row r="54" spans="1:19" x14ac:dyDescent="0.35">
      <c r="A54" s="5" t="s">
        <v>2671</v>
      </c>
      <c r="B54" s="5" t="s">
        <v>2672</v>
      </c>
      <c r="C54" s="5" t="s">
        <v>2673</v>
      </c>
      <c r="D54" s="5" t="s">
        <v>17</v>
      </c>
      <c r="E54" s="5" t="s">
        <v>156</v>
      </c>
      <c r="F54" s="5" t="s">
        <v>241</v>
      </c>
      <c r="G54" s="5" t="s">
        <v>242</v>
      </c>
      <c r="H54" s="5" t="s">
        <v>242</v>
      </c>
      <c r="I54" s="5" t="s">
        <v>659</v>
      </c>
      <c r="J54" s="5" t="s">
        <v>119</v>
      </c>
      <c r="K54" s="5" t="s">
        <v>470</v>
      </c>
      <c r="L54" s="7">
        <v>45369</v>
      </c>
      <c r="M54" s="7">
        <v>46080</v>
      </c>
      <c r="N54" s="10" t="s">
        <v>2485</v>
      </c>
      <c r="O54" s="5" t="s">
        <v>2486</v>
      </c>
      <c r="P54" s="5" t="s">
        <v>2581</v>
      </c>
      <c r="Q54" s="6"/>
      <c r="R54" s="6"/>
      <c r="S54" s="52" t="s">
        <v>2582</v>
      </c>
    </row>
    <row r="55" spans="1:19" x14ac:dyDescent="0.35">
      <c r="A55" s="5" t="s">
        <v>2674</v>
      </c>
      <c r="B55" s="5" t="s">
        <v>2675</v>
      </c>
      <c r="C55" s="5" t="s">
        <v>2676</v>
      </c>
      <c r="D55" s="5" t="s">
        <v>17</v>
      </c>
      <c r="E55" s="5" t="s">
        <v>19</v>
      </c>
      <c r="F55" s="5" t="s">
        <v>20</v>
      </c>
      <c r="G55" s="5" t="s">
        <v>20</v>
      </c>
      <c r="H55" s="5" t="s">
        <v>20</v>
      </c>
      <c r="I55" s="5" t="s">
        <v>329</v>
      </c>
      <c r="J55" s="5" t="s">
        <v>330</v>
      </c>
      <c r="K55" s="5" t="s">
        <v>45</v>
      </c>
      <c r="L55" s="7">
        <v>45376</v>
      </c>
      <c r="M55" s="7">
        <v>46262</v>
      </c>
      <c r="N55" s="10" t="s">
        <v>2493</v>
      </c>
      <c r="O55" s="5" t="s">
        <v>2494</v>
      </c>
      <c r="P55" s="5" t="s">
        <v>2538</v>
      </c>
      <c r="Q55" s="6"/>
      <c r="R55" s="6"/>
      <c r="S55" s="6" t="s">
        <v>2473</v>
      </c>
    </row>
    <row r="56" spans="1:19" x14ac:dyDescent="0.35">
      <c r="A56" s="5" t="s">
        <v>2677</v>
      </c>
      <c r="B56" s="5" t="s">
        <v>2678</v>
      </c>
      <c r="C56" s="5" t="s">
        <v>2679</v>
      </c>
      <c r="D56" s="5" t="s">
        <v>17</v>
      </c>
      <c r="E56" s="5" t="s">
        <v>19</v>
      </c>
      <c r="F56" s="5" t="s">
        <v>50</v>
      </c>
      <c r="G56" s="53" t="s">
        <v>2476</v>
      </c>
      <c r="H56" s="5" t="s">
        <v>3605</v>
      </c>
      <c r="I56" s="5"/>
      <c r="J56" s="5" t="s">
        <v>370</v>
      </c>
      <c r="K56" s="5" t="s">
        <v>81</v>
      </c>
      <c r="L56" s="7">
        <v>45383</v>
      </c>
      <c r="M56" s="7">
        <v>46087</v>
      </c>
      <c r="N56" s="10" t="s">
        <v>2485</v>
      </c>
      <c r="O56" s="5" t="s">
        <v>2494</v>
      </c>
      <c r="P56" s="5" t="s">
        <v>2680</v>
      </c>
      <c r="Q56" s="6"/>
      <c r="R56" s="6"/>
      <c r="S56" s="6" t="s">
        <v>2473</v>
      </c>
    </row>
    <row r="57" spans="1:19" x14ac:dyDescent="0.35">
      <c r="A57" s="5" t="s">
        <v>2681</v>
      </c>
      <c r="B57" s="5" t="s">
        <v>2682</v>
      </c>
      <c r="C57" s="5" t="s">
        <v>2683</v>
      </c>
      <c r="D57" s="5" t="s">
        <v>28</v>
      </c>
      <c r="E57" s="5" t="s">
        <v>19</v>
      </c>
      <c r="F57" s="5" t="s">
        <v>29</v>
      </c>
      <c r="G57" s="5" t="s">
        <v>395</v>
      </c>
      <c r="H57" s="5" t="s">
        <v>395</v>
      </c>
      <c r="I57" s="5"/>
      <c r="J57" s="5" t="s">
        <v>2684</v>
      </c>
      <c r="K57" s="5" t="s">
        <v>210</v>
      </c>
      <c r="L57" s="7">
        <v>45398</v>
      </c>
      <c r="M57" s="7">
        <v>46099</v>
      </c>
      <c r="N57" s="10" t="s">
        <v>2485</v>
      </c>
      <c r="O57" s="5" t="s">
        <v>2486</v>
      </c>
      <c r="P57" s="5" t="s">
        <v>2514</v>
      </c>
      <c r="Q57" s="6" t="s">
        <v>2685</v>
      </c>
      <c r="R57" s="6" t="s">
        <v>18</v>
      </c>
      <c r="S57" s="6" t="s">
        <v>2515</v>
      </c>
    </row>
    <row r="58" spans="1:19" x14ac:dyDescent="0.35">
      <c r="A58" s="5" t="s">
        <v>2686</v>
      </c>
      <c r="B58" s="5" t="s">
        <v>2687</v>
      </c>
      <c r="C58" s="5" t="s">
        <v>2688</v>
      </c>
      <c r="D58" s="5" t="s">
        <v>28</v>
      </c>
      <c r="E58" s="5" t="s">
        <v>225</v>
      </c>
      <c r="F58" s="5" t="s">
        <v>241</v>
      </c>
      <c r="G58" s="5" t="s">
        <v>242</v>
      </c>
      <c r="H58" s="5" t="s">
        <v>242</v>
      </c>
      <c r="I58" s="5" t="s">
        <v>76</v>
      </c>
      <c r="J58" s="5" t="s">
        <v>2689</v>
      </c>
      <c r="K58" s="5" t="s">
        <v>470</v>
      </c>
      <c r="L58" s="7">
        <v>45439</v>
      </c>
      <c r="M58" s="7">
        <v>46203</v>
      </c>
      <c r="N58" s="10" t="s">
        <v>683</v>
      </c>
      <c r="O58" s="5" t="s">
        <v>2486</v>
      </c>
      <c r="P58" s="5" t="s">
        <v>2581</v>
      </c>
      <c r="Q58" s="6"/>
      <c r="R58" s="6"/>
      <c r="S58" s="52" t="s">
        <v>2582</v>
      </c>
    </row>
    <row r="59" spans="1:19" x14ac:dyDescent="0.35">
      <c r="A59" s="5" t="s">
        <v>2690</v>
      </c>
      <c r="B59" s="5" t="s">
        <v>2691</v>
      </c>
      <c r="C59" s="5" t="s">
        <v>2692</v>
      </c>
      <c r="D59" s="5" t="s">
        <v>17</v>
      </c>
      <c r="E59" s="5" t="s">
        <v>156</v>
      </c>
      <c r="F59" s="5" t="s">
        <v>241</v>
      </c>
      <c r="G59" s="5" t="s">
        <v>242</v>
      </c>
      <c r="H59" s="5" t="s">
        <v>242</v>
      </c>
      <c r="I59" s="5" t="s">
        <v>468</v>
      </c>
      <c r="J59" s="5" t="s">
        <v>640</v>
      </c>
      <c r="K59" s="5" t="s">
        <v>470</v>
      </c>
      <c r="L59" s="7">
        <v>45443</v>
      </c>
      <c r="M59" s="7">
        <v>46033</v>
      </c>
      <c r="N59" s="10" t="s">
        <v>2485</v>
      </c>
      <c r="O59" s="5" t="s">
        <v>2486</v>
      </c>
      <c r="P59" s="5" t="s">
        <v>2693</v>
      </c>
      <c r="Q59" s="6"/>
      <c r="R59" s="6"/>
      <c r="S59" s="6" t="s">
        <v>2515</v>
      </c>
    </row>
    <row r="60" spans="1:19" x14ac:dyDescent="0.35">
      <c r="A60" s="5" t="s">
        <v>2694</v>
      </c>
      <c r="B60" s="5" t="s">
        <v>2695</v>
      </c>
      <c r="C60" s="5" t="s">
        <v>2696</v>
      </c>
      <c r="D60" s="5" t="s">
        <v>28</v>
      </c>
      <c r="E60" s="5" t="s">
        <v>130</v>
      </c>
      <c r="F60" s="5" t="s">
        <v>241</v>
      </c>
      <c r="G60" s="5" t="s">
        <v>242</v>
      </c>
      <c r="H60" s="5" t="s">
        <v>242</v>
      </c>
      <c r="I60" s="5" t="s">
        <v>39</v>
      </c>
      <c r="J60" s="5" t="s">
        <v>884</v>
      </c>
      <c r="K60" s="5" t="s">
        <v>470</v>
      </c>
      <c r="L60" s="7">
        <v>45454</v>
      </c>
      <c r="M60" s="7">
        <v>46197</v>
      </c>
      <c r="N60" s="10" t="s">
        <v>683</v>
      </c>
      <c r="O60" s="5" t="s">
        <v>2486</v>
      </c>
      <c r="P60" s="5" t="s">
        <v>2581</v>
      </c>
      <c r="Q60" s="6"/>
      <c r="R60" s="6"/>
      <c r="S60" s="52" t="s">
        <v>2582</v>
      </c>
    </row>
    <row r="61" spans="1:19" x14ac:dyDescent="0.35">
      <c r="A61" s="5" t="s">
        <v>2697</v>
      </c>
      <c r="B61" s="5" t="s">
        <v>2698</v>
      </c>
      <c r="C61" s="5" t="s">
        <v>2699</v>
      </c>
      <c r="D61" s="5" t="s">
        <v>17</v>
      </c>
      <c r="E61" s="5" t="s">
        <v>156</v>
      </c>
      <c r="F61" s="5" t="s">
        <v>50</v>
      </c>
      <c r="G61" s="53" t="s">
        <v>2476</v>
      </c>
      <c r="H61" s="31" t="s">
        <v>101</v>
      </c>
      <c r="I61" s="5"/>
      <c r="J61" s="5" t="s">
        <v>106</v>
      </c>
      <c r="K61" s="5" t="s">
        <v>125</v>
      </c>
      <c r="L61" s="7">
        <v>45474</v>
      </c>
      <c r="M61" s="7">
        <v>46241</v>
      </c>
      <c r="N61" s="10" t="s">
        <v>2493</v>
      </c>
      <c r="O61" s="5" t="s">
        <v>2494</v>
      </c>
      <c r="P61" s="5" t="s">
        <v>2495</v>
      </c>
      <c r="Q61" s="6"/>
      <c r="R61" s="6"/>
      <c r="S61" s="6" t="s">
        <v>2473</v>
      </c>
    </row>
    <row r="62" spans="1:19" x14ac:dyDescent="0.35">
      <c r="A62" s="5" t="s">
        <v>2700</v>
      </c>
      <c r="B62" s="5" t="s">
        <v>2701</v>
      </c>
      <c r="C62" s="5" t="s">
        <v>2702</v>
      </c>
      <c r="D62" s="5" t="s">
        <v>28</v>
      </c>
      <c r="E62" s="5" t="s">
        <v>156</v>
      </c>
      <c r="F62" s="5" t="s">
        <v>241</v>
      </c>
      <c r="G62" s="5" t="s">
        <v>242</v>
      </c>
      <c r="H62" s="5" t="s">
        <v>242</v>
      </c>
      <c r="I62" s="5" t="s">
        <v>2703</v>
      </c>
      <c r="J62" s="5" t="s">
        <v>2704</v>
      </c>
      <c r="K62" s="5" t="s">
        <v>426</v>
      </c>
      <c r="L62" s="7">
        <v>45474</v>
      </c>
      <c r="M62" s="7">
        <v>46081</v>
      </c>
      <c r="N62" s="10" t="s">
        <v>2485</v>
      </c>
      <c r="O62" s="5" t="s">
        <v>2486</v>
      </c>
      <c r="P62" s="5" t="s">
        <v>2581</v>
      </c>
      <c r="Q62" s="6"/>
      <c r="R62" s="6"/>
      <c r="S62" s="52" t="s">
        <v>2582</v>
      </c>
    </row>
    <row r="63" spans="1:19" x14ac:dyDescent="0.35">
      <c r="A63" s="5" t="s">
        <v>2705</v>
      </c>
      <c r="B63" s="5" t="s">
        <v>2706</v>
      </c>
      <c r="C63" s="5" t="s">
        <v>2707</v>
      </c>
      <c r="D63" s="5" t="s">
        <v>28</v>
      </c>
      <c r="E63" s="5" t="s">
        <v>130</v>
      </c>
      <c r="F63" s="5" t="s">
        <v>241</v>
      </c>
      <c r="G63" s="5" t="s">
        <v>242</v>
      </c>
      <c r="H63" s="5" t="s">
        <v>242</v>
      </c>
      <c r="I63" s="5" t="s">
        <v>138</v>
      </c>
      <c r="J63" s="5" t="s">
        <v>2708</v>
      </c>
      <c r="K63" s="5" t="s">
        <v>426</v>
      </c>
      <c r="L63" s="7">
        <v>45476</v>
      </c>
      <c r="M63" s="7">
        <v>46219</v>
      </c>
      <c r="N63" s="10" t="s">
        <v>2493</v>
      </c>
      <c r="O63" s="5" t="s">
        <v>2486</v>
      </c>
      <c r="P63" s="5" t="s">
        <v>2581</v>
      </c>
      <c r="Q63" s="6"/>
      <c r="R63" s="6"/>
      <c r="S63" s="52" t="s">
        <v>2582</v>
      </c>
    </row>
    <row r="64" spans="1:19" x14ac:dyDescent="0.35">
      <c r="A64" s="5" t="s">
        <v>2709</v>
      </c>
      <c r="B64" s="5" t="s">
        <v>2710</v>
      </c>
      <c r="C64" s="5" t="s">
        <v>2711</v>
      </c>
      <c r="D64" s="5" t="s">
        <v>28</v>
      </c>
      <c r="E64" s="5" t="s">
        <v>130</v>
      </c>
      <c r="F64" s="5" t="s">
        <v>241</v>
      </c>
      <c r="G64" s="5" t="s">
        <v>242</v>
      </c>
      <c r="H64" s="5" t="s">
        <v>242</v>
      </c>
      <c r="I64" s="5" t="s">
        <v>138</v>
      </c>
      <c r="J64" s="5" t="s">
        <v>2712</v>
      </c>
      <c r="K64" s="5" t="s">
        <v>426</v>
      </c>
      <c r="L64" s="7">
        <v>45477</v>
      </c>
      <c r="M64" s="7">
        <v>46225</v>
      </c>
      <c r="N64" s="10" t="s">
        <v>2493</v>
      </c>
      <c r="O64" s="5" t="s">
        <v>2486</v>
      </c>
      <c r="P64" s="5" t="s">
        <v>2581</v>
      </c>
      <c r="Q64" s="6"/>
      <c r="R64" s="6"/>
      <c r="S64" s="52" t="s">
        <v>2582</v>
      </c>
    </row>
    <row r="65" spans="1:19" x14ac:dyDescent="0.35">
      <c r="A65" s="5" t="s">
        <v>2713</v>
      </c>
      <c r="B65" s="5" t="s">
        <v>2714</v>
      </c>
      <c r="C65" s="5" t="s">
        <v>2715</v>
      </c>
      <c r="D65" s="5" t="s">
        <v>17</v>
      </c>
      <c r="E65" s="5" t="s">
        <v>156</v>
      </c>
      <c r="F65" s="5" t="s">
        <v>50</v>
      </c>
      <c r="G65" s="53" t="s">
        <v>2476</v>
      </c>
      <c r="H65" s="5" t="s">
        <v>3605</v>
      </c>
      <c r="I65" s="5"/>
      <c r="J65" s="5" t="s">
        <v>370</v>
      </c>
      <c r="K65" s="5" t="s">
        <v>258</v>
      </c>
      <c r="L65" s="7">
        <v>45481</v>
      </c>
      <c r="M65" s="7">
        <v>46185</v>
      </c>
      <c r="N65" s="10" t="s">
        <v>683</v>
      </c>
      <c r="O65" s="5" t="s">
        <v>2494</v>
      </c>
      <c r="P65" s="5" t="s">
        <v>2495</v>
      </c>
      <c r="Q65" s="6"/>
      <c r="R65" s="6"/>
      <c r="S65" s="6" t="s">
        <v>2473</v>
      </c>
    </row>
    <row r="66" spans="1:19" x14ac:dyDescent="0.35">
      <c r="A66" s="5" t="s">
        <v>2716</v>
      </c>
      <c r="B66" s="5" t="s">
        <v>2717</v>
      </c>
      <c r="C66" s="5" t="s">
        <v>2718</v>
      </c>
      <c r="D66" s="5" t="s">
        <v>17</v>
      </c>
      <c r="E66" s="5" t="s">
        <v>19</v>
      </c>
      <c r="F66" s="5" t="s">
        <v>241</v>
      </c>
      <c r="G66" s="5" t="s">
        <v>242</v>
      </c>
      <c r="H66" s="5" t="s">
        <v>242</v>
      </c>
      <c r="I66" s="5" t="s">
        <v>827</v>
      </c>
      <c r="J66" s="5" t="s">
        <v>2719</v>
      </c>
      <c r="K66" s="5" t="s">
        <v>426</v>
      </c>
      <c r="L66" s="7">
        <v>45502</v>
      </c>
      <c r="M66" s="7">
        <v>46232</v>
      </c>
      <c r="N66" s="10" t="s">
        <v>2493</v>
      </c>
      <c r="O66" s="5" t="s">
        <v>2486</v>
      </c>
      <c r="P66" s="5" t="s">
        <v>2581</v>
      </c>
      <c r="Q66" s="6"/>
      <c r="R66" s="6"/>
      <c r="S66" s="52" t="s">
        <v>2582</v>
      </c>
    </row>
    <row r="67" spans="1:19" x14ac:dyDescent="0.35">
      <c r="A67" s="5" t="s">
        <v>2720</v>
      </c>
      <c r="B67" s="5" t="s">
        <v>2721</v>
      </c>
      <c r="C67" s="5" t="s">
        <v>2722</v>
      </c>
      <c r="D67" s="5" t="s">
        <v>17</v>
      </c>
      <c r="E67" s="5" t="s">
        <v>19</v>
      </c>
      <c r="F67" s="5" t="s">
        <v>241</v>
      </c>
      <c r="G67" s="5" t="s">
        <v>242</v>
      </c>
      <c r="H67" s="5" t="s">
        <v>242</v>
      </c>
      <c r="I67" s="5" t="s">
        <v>138</v>
      </c>
      <c r="J67" s="5" t="s">
        <v>2723</v>
      </c>
      <c r="K67" s="5" t="s">
        <v>426</v>
      </c>
      <c r="L67" s="7">
        <v>45502</v>
      </c>
      <c r="M67" s="7">
        <v>46052</v>
      </c>
      <c r="N67" s="10" t="s">
        <v>2485</v>
      </c>
      <c r="O67" s="5" t="s">
        <v>2486</v>
      </c>
      <c r="P67" s="5" t="s">
        <v>2581</v>
      </c>
      <c r="Q67" s="6"/>
      <c r="R67" s="6"/>
      <c r="S67" s="52" t="s">
        <v>2582</v>
      </c>
    </row>
    <row r="68" spans="1:19" x14ac:dyDescent="0.35">
      <c r="A68" s="5" t="s">
        <v>2724</v>
      </c>
      <c r="B68" s="5" t="s">
        <v>2725</v>
      </c>
      <c r="C68" s="5" t="s">
        <v>2726</v>
      </c>
      <c r="D68" s="5" t="s">
        <v>17</v>
      </c>
      <c r="E68" s="5" t="s">
        <v>225</v>
      </c>
      <c r="F68" s="5" t="s">
        <v>241</v>
      </c>
      <c r="G68" s="5" t="s">
        <v>242</v>
      </c>
      <c r="H68" s="5" t="s">
        <v>242</v>
      </c>
      <c r="I68" s="5" t="s">
        <v>76</v>
      </c>
      <c r="J68" s="5" t="s">
        <v>2727</v>
      </c>
      <c r="K68" s="5" t="s">
        <v>470</v>
      </c>
      <c r="L68" s="7">
        <v>45505</v>
      </c>
      <c r="M68" s="7">
        <v>46192</v>
      </c>
      <c r="N68" s="10" t="s">
        <v>683</v>
      </c>
      <c r="O68" s="5" t="s">
        <v>2486</v>
      </c>
      <c r="P68" s="5" t="s">
        <v>2693</v>
      </c>
      <c r="Q68" s="6"/>
      <c r="R68" s="6"/>
      <c r="S68" s="6" t="s">
        <v>2515</v>
      </c>
    </row>
    <row r="69" spans="1:19" x14ac:dyDescent="0.35">
      <c r="A69" s="5" t="s">
        <v>2728</v>
      </c>
      <c r="B69" s="5" t="s">
        <v>2729</v>
      </c>
      <c r="C69" s="5" t="s">
        <v>2730</v>
      </c>
      <c r="D69" s="5" t="s">
        <v>17</v>
      </c>
      <c r="E69" s="5" t="s">
        <v>19</v>
      </c>
      <c r="F69" s="5" t="s">
        <v>29</v>
      </c>
      <c r="G69" s="5" t="s">
        <v>395</v>
      </c>
      <c r="H69" s="5" t="s">
        <v>395</v>
      </c>
      <c r="I69" s="5"/>
      <c r="J69" s="5" t="s">
        <v>187</v>
      </c>
      <c r="K69" s="5" t="s">
        <v>210</v>
      </c>
      <c r="L69" s="7">
        <v>45509</v>
      </c>
      <c r="M69" s="7">
        <v>46112</v>
      </c>
      <c r="N69" s="10" t="s">
        <v>2485</v>
      </c>
      <c r="O69" s="5" t="s">
        <v>2494</v>
      </c>
      <c r="P69" s="5" t="s">
        <v>2693</v>
      </c>
      <c r="Q69" s="6" t="s">
        <v>2731</v>
      </c>
      <c r="R69" s="6" t="s">
        <v>18</v>
      </c>
      <c r="S69" s="6" t="s">
        <v>2515</v>
      </c>
    </row>
    <row r="70" spans="1:19" x14ac:dyDescent="0.35">
      <c r="A70" s="5" t="s">
        <v>2732</v>
      </c>
      <c r="B70" s="5" t="s">
        <v>2733</v>
      </c>
      <c r="C70" s="5" t="s">
        <v>2734</v>
      </c>
      <c r="D70" s="5" t="s">
        <v>17</v>
      </c>
      <c r="E70" s="5" t="s">
        <v>19</v>
      </c>
      <c r="F70" s="5" t="s">
        <v>241</v>
      </c>
      <c r="G70" s="5" t="s">
        <v>242</v>
      </c>
      <c r="H70" s="5" t="s">
        <v>242</v>
      </c>
      <c r="I70" s="5" t="s">
        <v>138</v>
      </c>
      <c r="J70" s="5" t="s">
        <v>1391</v>
      </c>
      <c r="K70" s="5" t="s">
        <v>426</v>
      </c>
      <c r="L70" s="7">
        <v>45509</v>
      </c>
      <c r="M70" s="7">
        <v>46052</v>
      </c>
      <c r="N70" s="10" t="s">
        <v>2485</v>
      </c>
      <c r="O70" s="5" t="s">
        <v>2486</v>
      </c>
      <c r="P70" s="5" t="s">
        <v>2581</v>
      </c>
      <c r="Q70" s="6"/>
      <c r="R70" s="6"/>
      <c r="S70" s="52" t="s">
        <v>2582</v>
      </c>
    </row>
    <row r="71" spans="1:19" x14ac:dyDescent="0.35">
      <c r="A71" s="5" t="s">
        <v>2735</v>
      </c>
      <c r="B71" s="5" t="s">
        <v>2736</v>
      </c>
      <c r="C71" s="5" t="s">
        <v>2737</v>
      </c>
      <c r="D71" s="5" t="s">
        <v>17</v>
      </c>
      <c r="E71" s="5" t="s">
        <v>19</v>
      </c>
      <c r="F71" s="5" t="s">
        <v>241</v>
      </c>
      <c r="G71" s="5" t="s">
        <v>242</v>
      </c>
      <c r="H71" s="5" t="s">
        <v>242</v>
      </c>
      <c r="I71" s="5" t="s">
        <v>138</v>
      </c>
      <c r="J71" s="5" t="s">
        <v>2723</v>
      </c>
      <c r="K71" s="5" t="s">
        <v>426</v>
      </c>
      <c r="L71" s="7">
        <v>45509</v>
      </c>
      <c r="M71" s="7">
        <v>46253</v>
      </c>
      <c r="N71" s="10" t="s">
        <v>2493</v>
      </c>
      <c r="O71" s="5" t="s">
        <v>2486</v>
      </c>
      <c r="P71" s="5" t="s">
        <v>2581</v>
      </c>
      <c r="Q71" s="6"/>
      <c r="R71" s="6"/>
      <c r="S71" s="52" t="s">
        <v>2582</v>
      </c>
    </row>
    <row r="72" spans="1:19" x14ac:dyDescent="0.35">
      <c r="A72" s="5" t="s">
        <v>2738</v>
      </c>
      <c r="B72" s="5" t="s">
        <v>2739</v>
      </c>
      <c r="C72" s="5" t="s">
        <v>2740</v>
      </c>
      <c r="D72" s="5" t="s">
        <v>28</v>
      </c>
      <c r="E72" s="5" t="s">
        <v>156</v>
      </c>
      <c r="F72" s="5" t="s">
        <v>241</v>
      </c>
      <c r="G72" s="5" t="s">
        <v>242</v>
      </c>
      <c r="H72" s="5" t="s">
        <v>242</v>
      </c>
      <c r="I72" s="5" t="s">
        <v>39</v>
      </c>
      <c r="J72" s="5" t="s">
        <v>2741</v>
      </c>
      <c r="K72" s="5" t="s">
        <v>470</v>
      </c>
      <c r="L72" s="7">
        <v>45509</v>
      </c>
      <c r="M72" s="7">
        <v>46072</v>
      </c>
      <c r="N72" s="10" t="s">
        <v>2485</v>
      </c>
      <c r="O72" s="5" t="s">
        <v>2486</v>
      </c>
      <c r="P72" s="5" t="s">
        <v>2581</v>
      </c>
      <c r="Q72" s="6"/>
      <c r="R72" s="6"/>
      <c r="S72" s="52" t="s">
        <v>2582</v>
      </c>
    </row>
    <row r="73" spans="1:19" x14ac:dyDescent="0.35">
      <c r="A73" s="5" t="s">
        <v>2742</v>
      </c>
      <c r="B73" s="5" t="s">
        <v>2743</v>
      </c>
      <c r="C73" s="5" t="s">
        <v>2744</v>
      </c>
      <c r="D73" s="5" t="s">
        <v>17</v>
      </c>
      <c r="E73" s="5" t="s">
        <v>19</v>
      </c>
      <c r="F73" s="5" t="s">
        <v>29</v>
      </c>
      <c r="G73" s="5" t="s">
        <v>395</v>
      </c>
      <c r="H73" s="5" t="s">
        <v>395</v>
      </c>
      <c r="I73" s="5"/>
      <c r="J73" s="5" t="s">
        <v>187</v>
      </c>
      <c r="K73" s="5" t="s">
        <v>927</v>
      </c>
      <c r="L73" s="7">
        <v>45526</v>
      </c>
      <c r="M73" s="7">
        <v>46164</v>
      </c>
      <c r="N73" s="10" t="s">
        <v>683</v>
      </c>
      <c r="O73" s="5" t="s">
        <v>2494</v>
      </c>
      <c r="P73" s="5" t="s">
        <v>2581</v>
      </c>
      <c r="Q73" s="6" t="s">
        <v>620</v>
      </c>
      <c r="R73" s="6" t="s">
        <v>18</v>
      </c>
      <c r="S73" s="52" t="s">
        <v>2582</v>
      </c>
    </row>
    <row r="74" spans="1:19" x14ac:dyDescent="0.35">
      <c r="A74" s="5" t="s">
        <v>2745</v>
      </c>
      <c r="B74" s="5" t="s">
        <v>2746</v>
      </c>
      <c r="C74" s="5" t="s">
        <v>2747</v>
      </c>
      <c r="D74" s="5" t="s">
        <v>17</v>
      </c>
      <c r="E74" s="5" t="s">
        <v>19</v>
      </c>
      <c r="F74" s="5" t="s">
        <v>29</v>
      </c>
      <c r="G74" s="5" t="s">
        <v>395</v>
      </c>
      <c r="H74" s="5" t="s">
        <v>395</v>
      </c>
      <c r="I74" s="5"/>
      <c r="J74" s="5" t="s">
        <v>243</v>
      </c>
      <c r="K74" s="5" t="s">
        <v>188</v>
      </c>
      <c r="L74" s="7">
        <v>45526</v>
      </c>
      <c r="M74" s="7">
        <v>46146</v>
      </c>
      <c r="N74" s="10" t="s">
        <v>683</v>
      </c>
      <c r="O74" s="5" t="s">
        <v>2486</v>
      </c>
      <c r="P74" s="5" t="s">
        <v>2514</v>
      </c>
      <c r="Q74" s="6" t="s">
        <v>76</v>
      </c>
      <c r="R74" s="6" t="s">
        <v>18</v>
      </c>
      <c r="S74" s="6" t="s">
        <v>2515</v>
      </c>
    </row>
    <row r="75" spans="1:19" x14ac:dyDescent="0.35">
      <c r="A75" s="5" t="s">
        <v>2748</v>
      </c>
      <c r="B75" s="5" t="s">
        <v>2749</v>
      </c>
      <c r="C75" s="5" t="s">
        <v>2750</v>
      </c>
      <c r="D75" s="5" t="s">
        <v>28</v>
      </c>
      <c r="E75" s="5" t="s">
        <v>19</v>
      </c>
      <c r="F75" s="5" t="s">
        <v>241</v>
      </c>
      <c r="G75" s="5" t="s">
        <v>242</v>
      </c>
      <c r="H75" s="5" t="s">
        <v>242</v>
      </c>
      <c r="I75" s="5" t="s">
        <v>138</v>
      </c>
      <c r="J75" s="5" t="s">
        <v>230</v>
      </c>
      <c r="K75" s="5" t="s">
        <v>426</v>
      </c>
      <c r="L75" s="7">
        <v>45525</v>
      </c>
      <c r="M75" s="7">
        <v>46086</v>
      </c>
      <c r="N75" s="10" t="s">
        <v>2485</v>
      </c>
      <c r="O75" s="5" t="s">
        <v>2486</v>
      </c>
      <c r="P75" s="5" t="s">
        <v>2581</v>
      </c>
      <c r="Q75" s="6"/>
      <c r="R75" s="6"/>
      <c r="S75" s="52" t="s">
        <v>2582</v>
      </c>
    </row>
    <row r="76" spans="1:19" x14ac:dyDescent="0.35">
      <c r="A76" s="5" t="s">
        <v>2751</v>
      </c>
      <c r="B76" s="5" t="s">
        <v>2752</v>
      </c>
      <c r="C76" s="5" t="s">
        <v>2753</v>
      </c>
      <c r="D76" s="5" t="s">
        <v>28</v>
      </c>
      <c r="E76" s="5" t="s">
        <v>156</v>
      </c>
      <c r="F76" s="5" t="s">
        <v>241</v>
      </c>
      <c r="G76" s="5" t="s">
        <v>242</v>
      </c>
      <c r="H76" s="5" t="s">
        <v>242</v>
      </c>
      <c r="I76" s="5" t="s">
        <v>39</v>
      </c>
      <c r="J76" s="5" t="s">
        <v>2754</v>
      </c>
      <c r="K76" s="5" t="s">
        <v>470</v>
      </c>
      <c r="L76" s="7">
        <v>45527</v>
      </c>
      <c r="M76" s="7">
        <v>46082</v>
      </c>
      <c r="N76" s="10" t="s">
        <v>2485</v>
      </c>
      <c r="O76" s="5" t="s">
        <v>2486</v>
      </c>
      <c r="P76" s="5" t="s">
        <v>2581</v>
      </c>
      <c r="Q76" s="6"/>
      <c r="R76" s="6"/>
      <c r="S76" s="52" t="s">
        <v>2582</v>
      </c>
    </row>
    <row r="77" spans="1:19" x14ac:dyDescent="0.35">
      <c r="A77" s="5" t="s">
        <v>2755</v>
      </c>
      <c r="B77" s="5" t="s">
        <v>2756</v>
      </c>
      <c r="C77" s="5" t="s">
        <v>2757</v>
      </c>
      <c r="D77" s="5" t="s">
        <v>28</v>
      </c>
      <c r="E77" s="5" t="s">
        <v>19</v>
      </c>
      <c r="F77" s="5" t="s">
        <v>241</v>
      </c>
      <c r="G77" s="5" t="s">
        <v>242</v>
      </c>
      <c r="H77" s="5" t="s">
        <v>242</v>
      </c>
      <c r="I77" s="5" t="s">
        <v>659</v>
      </c>
      <c r="J77" s="5" t="s">
        <v>660</v>
      </c>
      <c r="K77" s="5" t="s">
        <v>470</v>
      </c>
      <c r="L77" s="7">
        <v>45532</v>
      </c>
      <c r="M77" s="7">
        <v>46266</v>
      </c>
      <c r="N77" s="10" t="s">
        <v>2493</v>
      </c>
      <c r="O77" s="5" t="s">
        <v>2486</v>
      </c>
      <c r="P77" s="5" t="s">
        <v>2581</v>
      </c>
      <c r="Q77" s="6"/>
      <c r="R77" s="6"/>
      <c r="S77" s="52" t="s">
        <v>2582</v>
      </c>
    </row>
    <row r="78" spans="1:19" x14ac:dyDescent="0.35">
      <c r="A78" s="5" t="s">
        <v>2758</v>
      </c>
      <c r="B78" s="5" t="s">
        <v>2759</v>
      </c>
      <c r="C78" s="5" t="s">
        <v>2760</v>
      </c>
      <c r="D78" s="5" t="s">
        <v>17</v>
      </c>
      <c r="E78" s="5" t="s">
        <v>130</v>
      </c>
      <c r="F78" s="5" t="s">
        <v>241</v>
      </c>
      <c r="G78" s="5" t="s">
        <v>242</v>
      </c>
      <c r="H78" s="5" t="s">
        <v>242</v>
      </c>
      <c r="I78" s="5" t="s">
        <v>138</v>
      </c>
      <c r="J78" s="5" t="s">
        <v>2761</v>
      </c>
      <c r="K78" s="5" t="s">
        <v>426</v>
      </c>
      <c r="L78" s="7">
        <v>45538</v>
      </c>
      <c r="M78" s="7">
        <v>46178</v>
      </c>
      <c r="N78" s="10" t="s">
        <v>683</v>
      </c>
      <c r="O78" s="5" t="s">
        <v>2486</v>
      </c>
      <c r="P78" s="5" t="s">
        <v>2581</v>
      </c>
      <c r="Q78" s="6"/>
      <c r="R78" s="6"/>
      <c r="S78" s="52" t="s">
        <v>2582</v>
      </c>
    </row>
    <row r="79" spans="1:19" x14ac:dyDescent="0.35">
      <c r="A79" s="5" t="s">
        <v>2762</v>
      </c>
      <c r="B79" s="5" t="s">
        <v>2763</v>
      </c>
      <c r="C79" s="5" t="s">
        <v>2764</v>
      </c>
      <c r="D79" s="5" t="s">
        <v>17</v>
      </c>
      <c r="E79" s="5" t="s">
        <v>19</v>
      </c>
      <c r="F79" s="5" t="s">
        <v>29</v>
      </c>
      <c r="G79" s="5" t="s">
        <v>395</v>
      </c>
      <c r="H79" s="5" t="s">
        <v>395</v>
      </c>
      <c r="I79" s="5"/>
      <c r="J79" s="5" t="s">
        <v>506</v>
      </c>
      <c r="K79" s="5" t="s">
        <v>927</v>
      </c>
      <c r="L79" s="7">
        <v>45551</v>
      </c>
      <c r="M79" s="7">
        <v>46213</v>
      </c>
      <c r="N79" s="10" t="s">
        <v>2493</v>
      </c>
      <c r="O79" s="5" t="s">
        <v>2486</v>
      </c>
      <c r="P79" s="5" t="s">
        <v>2514</v>
      </c>
      <c r="Q79" s="6" t="s">
        <v>620</v>
      </c>
      <c r="R79" s="6" t="s">
        <v>18</v>
      </c>
      <c r="S79" s="6" t="s">
        <v>2515</v>
      </c>
    </row>
    <row r="80" spans="1:19" x14ac:dyDescent="0.35">
      <c r="A80" s="5" t="s">
        <v>2765</v>
      </c>
      <c r="B80" s="5" t="s">
        <v>2766</v>
      </c>
      <c r="C80" s="5" t="s">
        <v>2767</v>
      </c>
      <c r="D80" s="5" t="s">
        <v>28</v>
      </c>
      <c r="E80" s="5" t="s">
        <v>19</v>
      </c>
      <c r="F80" s="5" t="s">
        <v>29</v>
      </c>
      <c r="G80" s="5" t="s">
        <v>395</v>
      </c>
      <c r="H80" s="5" t="s">
        <v>395</v>
      </c>
      <c r="I80" s="5"/>
      <c r="J80" s="5" t="s">
        <v>243</v>
      </c>
      <c r="K80" s="5" t="s">
        <v>188</v>
      </c>
      <c r="L80" s="7">
        <v>45551</v>
      </c>
      <c r="M80" s="7">
        <v>46146</v>
      </c>
      <c r="N80" s="10" t="s">
        <v>683</v>
      </c>
      <c r="O80" s="5" t="s">
        <v>2486</v>
      </c>
      <c r="P80" s="5" t="s">
        <v>2514</v>
      </c>
      <c r="Q80" s="6" t="s">
        <v>76</v>
      </c>
      <c r="R80" s="6" t="s">
        <v>18</v>
      </c>
      <c r="S80" s="6" t="s">
        <v>2515</v>
      </c>
    </row>
    <row r="81" spans="1:19" x14ac:dyDescent="0.35">
      <c r="A81" s="5" t="s">
        <v>2768</v>
      </c>
      <c r="B81" s="5" t="s">
        <v>2769</v>
      </c>
      <c r="C81" s="5" t="s">
        <v>2770</v>
      </c>
      <c r="D81" s="5" t="s">
        <v>17</v>
      </c>
      <c r="E81" s="5" t="s">
        <v>19</v>
      </c>
      <c r="F81" s="5" t="s">
        <v>241</v>
      </c>
      <c r="G81" s="5" t="s">
        <v>242</v>
      </c>
      <c r="H81" s="5" t="s">
        <v>242</v>
      </c>
      <c r="I81" s="5" t="s">
        <v>138</v>
      </c>
      <c r="J81" s="5" t="s">
        <v>967</v>
      </c>
      <c r="K81" s="5" t="s">
        <v>426</v>
      </c>
      <c r="L81" s="7">
        <v>45541</v>
      </c>
      <c r="M81" s="7">
        <v>46094</v>
      </c>
      <c r="N81" s="10" t="s">
        <v>2485</v>
      </c>
      <c r="O81" s="5" t="s">
        <v>2486</v>
      </c>
      <c r="P81" s="5" t="s">
        <v>2581</v>
      </c>
      <c r="Q81" s="6"/>
      <c r="R81" s="6"/>
      <c r="S81" s="52" t="s">
        <v>2582</v>
      </c>
    </row>
    <row r="82" spans="1:19" x14ac:dyDescent="0.35">
      <c r="A82" s="5" t="s">
        <v>2771</v>
      </c>
      <c r="B82" s="5" t="s">
        <v>2772</v>
      </c>
      <c r="C82" s="5" t="s">
        <v>2773</v>
      </c>
      <c r="D82" s="5" t="s">
        <v>17</v>
      </c>
      <c r="E82" s="5" t="s">
        <v>19</v>
      </c>
      <c r="F82" s="5" t="s">
        <v>241</v>
      </c>
      <c r="G82" s="5" t="s">
        <v>242</v>
      </c>
      <c r="H82" s="5" t="s">
        <v>242</v>
      </c>
      <c r="I82" s="5" t="s">
        <v>138</v>
      </c>
      <c r="J82" s="5" t="s">
        <v>438</v>
      </c>
      <c r="K82" s="5" t="s">
        <v>426</v>
      </c>
      <c r="L82" s="7">
        <v>45544</v>
      </c>
      <c r="M82" s="7">
        <v>46104</v>
      </c>
      <c r="N82" s="10" t="s">
        <v>2485</v>
      </c>
      <c r="O82" s="5" t="s">
        <v>2486</v>
      </c>
      <c r="P82" s="5" t="s">
        <v>2581</v>
      </c>
      <c r="Q82" s="6"/>
      <c r="R82" s="6"/>
      <c r="S82" s="52" t="s">
        <v>2582</v>
      </c>
    </row>
    <row r="83" spans="1:19" x14ac:dyDescent="0.35">
      <c r="A83" s="5" t="s">
        <v>2774</v>
      </c>
      <c r="B83" s="5" t="s">
        <v>2775</v>
      </c>
      <c r="C83" s="5" t="s">
        <v>2776</v>
      </c>
      <c r="D83" s="5" t="s">
        <v>17</v>
      </c>
      <c r="E83" s="5" t="s">
        <v>19</v>
      </c>
      <c r="F83" s="5" t="s">
        <v>241</v>
      </c>
      <c r="G83" s="5" t="s">
        <v>242</v>
      </c>
      <c r="H83" s="5" t="s">
        <v>242</v>
      </c>
      <c r="I83" s="5" t="s">
        <v>138</v>
      </c>
      <c r="J83" s="5" t="s">
        <v>246</v>
      </c>
      <c r="K83" s="5" t="s">
        <v>426</v>
      </c>
      <c r="L83" s="7">
        <v>45546</v>
      </c>
      <c r="M83" s="7">
        <v>46105</v>
      </c>
      <c r="N83" s="10" t="s">
        <v>2485</v>
      </c>
      <c r="O83" s="5" t="s">
        <v>2486</v>
      </c>
      <c r="P83" s="5" t="s">
        <v>2581</v>
      </c>
      <c r="Q83" s="6"/>
      <c r="R83" s="6"/>
      <c r="S83" s="52" t="s">
        <v>2582</v>
      </c>
    </row>
    <row r="84" spans="1:19" x14ac:dyDescent="0.35">
      <c r="A84" s="5" t="s">
        <v>670</v>
      </c>
      <c r="B84" s="5" t="s">
        <v>671</v>
      </c>
      <c r="C84" s="5" t="s">
        <v>672</v>
      </c>
      <c r="D84" s="5" t="s">
        <v>17</v>
      </c>
      <c r="E84" s="5" t="s">
        <v>19</v>
      </c>
      <c r="F84" s="5" t="s">
        <v>29</v>
      </c>
      <c r="G84" s="5" t="s">
        <v>395</v>
      </c>
      <c r="H84" s="5" t="s">
        <v>395</v>
      </c>
      <c r="I84" s="5"/>
      <c r="J84" s="5" t="s">
        <v>673</v>
      </c>
      <c r="K84" s="5" t="s">
        <v>564</v>
      </c>
      <c r="L84" s="7">
        <v>45553</v>
      </c>
      <c r="M84" s="7">
        <v>46304</v>
      </c>
      <c r="N84" s="10" t="s">
        <v>2777</v>
      </c>
      <c r="O84" s="5" t="s">
        <v>2494</v>
      </c>
      <c r="P84" s="5" t="s">
        <v>2778</v>
      </c>
      <c r="Q84" s="6" t="s">
        <v>2779</v>
      </c>
      <c r="R84" s="6" t="s">
        <v>33</v>
      </c>
      <c r="S84" s="6" t="s">
        <v>2475</v>
      </c>
    </row>
    <row r="85" spans="1:19" x14ac:dyDescent="0.35">
      <c r="A85" s="5" t="s">
        <v>2780</v>
      </c>
      <c r="B85" s="5" t="s">
        <v>2781</v>
      </c>
      <c r="C85" s="5" t="s">
        <v>2782</v>
      </c>
      <c r="D85" s="5" t="s">
        <v>17</v>
      </c>
      <c r="E85" s="5" t="s">
        <v>19</v>
      </c>
      <c r="F85" s="5" t="s">
        <v>241</v>
      </c>
      <c r="G85" s="5" t="s">
        <v>242</v>
      </c>
      <c r="H85" s="5" t="s">
        <v>242</v>
      </c>
      <c r="I85" s="5" t="s">
        <v>138</v>
      </c>
      <c r="J85" s="5" t="s">
        <v>1536</v>
      </c>
      <c r="K85" s="5" t="s">
        <v>426</v>
      </c>
      <c r="L85" s="7">
        <v>45553</v>
      </c>
      <c r="M85" s="7">
        <v>46113</v>
      </c>
      <c r="N85" s="10" t="s">
        <v>683</v>
      </c>
      <c r="O85" s="5" t="s">
        <v>2486</v>
      </c>
      <c r="P85" s="5" t="s">
        <v>2581</v>
      </c>
      <c r="Q85" s="6"/>
      <c r="R85" s="6"/>
      <c r="S85" s="52" t="s">
        <v>2582</v>
      </c>
    </row>
    <row r="86" spans="1:19" x14ac:dyDescent="0.35">
      <c r="A86" s="5" t="s">
        <v>2783</v>
      </c>
      <c r="B86" s="5" t="s">
        <v>2784</v>
      </c>
      <c r="C86" s="5" t="s">
        <v>2785</v>
      </c>
      <c r="D86" s="5" t="s">
        <v>17</v>
      </c>
      <c r="E86" s="5" t="s">
        <v>225</v>
      </c>
      <c r="F86" s="5" t="s">
        <v>241</v>
      </c>
      <c r="G86" s="5" t="s">
        <v>242</v>
      </c>
      <c r="H86" s="5" t="s">
        <v>242</v>
      </c>
      <c r="I86" s="5" t="s">
        <v>76</v>
      </c>
      <c r="J86" s="5" t="s">
        <v>2786</v>
      </c>
      <c r="K86" s="5" t="s">
        <v>470</v>
      </c>
      <c r="L86" s="7">
        <v>45559</v>
      </c>
      <c r="M86" s="7">
        <v>46122</v>
      </c>
      <c r="N86" s="10" t="s">
        <v>683</v>
      </c>
      <c r="O86" s="5" t="s">
        <v>2486</v>
      </c>
      <c r="P86" s="5" t="s">
        <v>2693</v>
      </c>
      <c r="Q86" s="6"/>
      <c r="R86" s="6"/>
      <c r="S86" s="6" t="s">
        <v>2515</v>
      </c>
    </row>
    <row r="87" spans="1:19" x14ac:dyDescent="0.35">
      <c r="A87" s="5" t="s">
        <v>2787</v>
      </c>
      <c r="B87" s="5" t="s">
        <v>2788</v>
      </c>
      <c r="C87" s="5" t="s">
        <v>2789</v>
      </c>
      <c r="D87" s="5" t="s">
        <v>17</v>
      </c>
      <c r="E87" s="5" t="s">
        <v>19</v>
      </c>
      <c r="F87" s="5" t="s">
        <v>241</v>
      </c>
      <c r="G87" s="5" t="s">
        <v>242</v>
      </c>
      <c r="H87" s="5" t="s">
        <v>242</v>
      </c>
      <c r="I87" s="5" t="s">
        <v>138</v>
      </c>
      <c r="J87" s="5" t="s">
        <v>2790</v>
      </c>
      <c r="K87" s="5" t="s">
        <v>426</v>
      </c>
      <c r="L87" s="7">
        <v>45559</v>
      </c>
      <c r="M87" s="7">
        <v>46066</v>
      </c>
      <c r="N87" s="10" t="s">
        <v>2485</v>
      </c>
      <c r="O87" s="5" t="s">
        <v>2486</v>
      </c>
      <c r="P87" s="5" t="s">
        <v>2581</v>
      </c>
      <c r="Q87" s="6"/>
      <c r="R87" s="6"/>
      <c r="S87" s="52" t="s">
        <v>2582</v>
      </c>
    </row>
    <row r="88" spans="1:19" x14ac:dyDescent="0.35">
      <c r="A88" s="5" t="s">
        <v>2791</v>
      </c>
      <c r="B88" s="5" t="s">
        <v>2792</v>
      </c>
      <c r="C88" s="5" t="s">
        <v>2793</v>
      </c>
      <c r="D88" s="5" t="s">
        <v>17</v>
      </c>
      <c r="E88" s="5" t="s">
        <v>19</v>
      </c>
      <c r="F88" s="5" t="s">
        <v>241</v>
      </c>
      <c r="G88" s="5" t="s">
        <v>242</v>
      </c>
      <c r="H88" s="5" t="s">
        <v>242</v>
      </c>
      <c r="I88" s="5" t="s">
        <v>138</v>
      </c>
      <c r="J88" s="5" t="s">
        <v>2794</v>
      </c>
      <c r="K88" s="5" t="s">
        <v>426</v>
      </c>
      <c r="L88" s="7">
        <v>45568</v>
      </c>
      <c r="M88" s="7">
        <v>46115</v>
      </c>
      <c r="N88" s="10" t="s">
        <v>683</v>
      </c>
      <c r="O88" s="5" t="s">
        <v>2486</v>
      </c>
      <c r="P88" s="5" t="s">
        <v>2581</v>
      </c>
      <c r="Q88" s="6"/>
      <c r="R88" s="6"/>
      <c r="S88" s="52" t="s">
        <v>2582</v>
      </c>
    </row>
    <row r="89" spans="1:19" x14ac:dyDescent="0.35">
      <c r="A89" s="5" t="s">
        <v>2795</v>
      </c>
      <c r="B89" s="5" t="s">
        <v>2796</v>
      </c>
      <c r="C89" s="5" t="s">
        <v>2797</v>
      </c>
      <c r="D89" s="5" t="s">
        <v>28</v>
      </c>
      <c r="E89" s="5" t="s">
        <v>19</v>
      </c>
      <c r="F89" s="5" t="s">
        <v>50</v>
      </c>
      <c r="G89" s="53" t="s">
        <v>2476</v>
      </c>
      <c r="H89" s="31" t="s">
        <v>101</v>
      </c>
      <c r="I89" s="5"/>
      <c r="J89" s="5" t="s">
        <v>115</v>
      </c>
      <c r="K89" s="5" t="s">
        <v>31</v>
      </c>
      <c r="L89" s="7">
        <v>45565</v>
      </c>
      <c r="M89" s="7">
        <v>46288</v>
      </c>
      <c r="N89" s="10" t="s">
        <v>2493</v>
      </c>
      <c r="O89" s="5" t="s">
        <v>2494</v>
      </c>
      <c r="P89" s="5" t="s">
        <v>2573</v>
      </c>
      <c r="Q89" s="6"/>
      <c r="R89" s="6"/>
      <c r="S89" s="6" t="s">
        <v>2473</v>
      </c>
    </row>
    <row r="90" spans="1:19" x14ac:dyDescent="0.35">
      <c r="A90" s="5" t="s">
        <v>2798</v>
      </c>
      <c r="B90" s="5" t="s">
        <v>2799</v>
      </c>
      <c r="C90" s="5" t="s">
        <v>2800</v>
      </c>
      <c r="D90" s="5" t="s">
        <v>17</v>
      </c>
      <c r="E90" s="5" t="s">
        <v>19</v>
      </c>
      <c r="F90" s="5" t="s">
        <v>241</v>
      </c>
      <c r="G90" s="5" t="s">
        <v>242</v>
      </c>
      <c r="H90" s="5" t="s">
        <v>242</v>
      </c>
      <c r="I90" s="5" t="s">
        <v>138</v>
      </c>
      <c r="J90" s="5" t="s">
        <v>187</v>
      </c>
      <c r="K90" s="5" t="s">
        <v>426</v>
      </c>
      <c r="L90" s="7">
        <v>45566</v>
      </c>
      <c r="M90" s="7">
        <v>46036</v>
      </c>
      <c r="N90" s="10" t="s">
        <v>2485</v>
      </c>
      <c r="O90" s="5" t="s">
        <v>2486</v>
      </c>
      <c r="P90" s="5" t="s">
        <v>2693</v>
      </c>
      <c r="Q90" s="6"/>
      <c r="R90" s="6"/>
      <c r="S90" s="6" t="s">
        <v>2515</v>
      </c>
    </row>
    <row r="91" spans="1:19" x14ac:dyDescent="0.35">
      <c r="A91" s="5" t="s">
        <v>2801</v>
      </c>
      <c r="B91" s="5" t="s">
        <v>2802</v>
      </c>
      <c r="C91" s="5" t="s">
        <v>2803</v>
      </c>
      <c r="D91" s="5" t="s">
        <v>28</v>
      </c>
      <c r="E91" s="5" t="s">
        <v>19</v>
      </c>
      <c r="F91" s="5" t="s">
        <v>29</v>
      </c>
      <c r="G91" s="5" t="s">
        <v>395</v>
      </c>
      <c r="H91" s="5" t="s">
        <v>395</v>
      </c>
      <c r="I91" s="5"/>
      <c r="J91" s="5" t="s">
        <v>2804</v>
      </c>
      <c r="K91" s="5" t="s">
        <v>188</v>
      </c>
      <c r="L91" s="7">
        <v>45568</v>
      </c>
      <c r="M91" s="7">
        <v>46118</v>
      </c>
      <c r="N91" s="10" t="s">
        <v>683</v>
      </c>
      <c r="O91" s="5" t="s">
        <v>2486</v>
      </c>
      <c r="P91" s="5" t="s">
        <v>2514</v>
      </c>
      <c r="Q91" s="6" t="s">
        <v>76</v>
      </c>
      <c r="R91" s="6" t="s">
        <v>18</v>
      </c>
      <c r="S91" s="6" t="s">
        <v>2515</v>
      </c>
    </row>
    <row r="92" spans="1:19" x14ac:dyDescent="0.35">
      <c r="A92" s="5" t="s">
        <v>2805</v>
      </c>
      <c r="B92" s="5" t="s">
        <v>2806</v>
      </c>
      <c r="C92" s="5" t="s">
        <v>2807</v>
      </c>
      <c r="D92" s="5" t="s">
        <v>17</v>
      </c>
      <c r="E92" s="5" t="s">
        <v>156</v>
      </c>
      <c r="F92" s="5" t="s">
        <v>241</v>
      </c>
      <c r="G92" s="5" t="s">
        <v>242</v>
      </c>
      <c r="H92" s="5" t="s">
        <v>242</v>
      </c>
      <c r="I92" s="5" t="s">
        <v>39</v>
      </c>
      <c r="J92" s="5" t="s">
        <v>212</v>
      </c>
      <c r="K92" s="5" t="s">
        <v>470</v>
      </c>
      <c r="L92" s="7">
        <v>45581</v>
      </c>
      <c r="M92" s="7">
        <v>46127</v>
      </c>
      <c r="N92" s="10" t="s">
        <v>683</v>
      </c>
      <c r="O92" s="5" t="s">
        <v>2486</v>
      </c>
      <c r="P92" s="5" t="s">
        <v>2581</v>
      </c>
      <c r="Q92" s="6"/>
      <c r="R92" s="6"/>
      <c r="S92" s="52" t="s">
        <v>2582</v>
      </c>
    </row>
    <row r="93" spans="1:19" x14ac:dyDescent="0.35">
      <c r="A93" s="5" t="s">
        <v>2808</v>
      </c>
      <c r="B93" s="5" t="s">
        <v>2809</v>
      </c>
      <c r="C93" s="5" t="s">
        <v>2810</v>
      </c>
      <c r="D93" s="5" t="s">
        <v>17</v>
      </c>
      <c r="E93" s="5" t="s">
        <v>74</v>
      </c>
      <c r="F93" s="5" t="s">
        <v>241</v>
      </c>
      <c r="G93" s="5" t="s">
        <v>242</v>
      </c>
      <c r="H93" s="5" t="s">
        <v>242</v>
      </c>
      <c r="I93" s="5" t="s">
        <v>2811</v>
      </c>
      <c r="J93" s="5" t="s">
        <v>2812</v>
      </c>
      <c r="K93" s="5" t="s">
        <v>426</v>
      </c>
      <c r="L93" s="7">
        <v>45580</v>
      </c>
      <c r="M93" s="7">
        <v>46203</v>
      </c>
      <c r="N93" s="10" t="s">
        <v>683</v>
      </c>
      <c r="O93" s="5" t="s">
        <v>2486</v>
      </c>
      <c r="P93" s="5" t="s">
        <v>2693</v>
      </c>
      <c r="Q93" s="6"/>
      <c r="R93" s="6"/>
      <c r="S93" s="6" t="s">
        <v>2515</v>
      </c>
    </row>
    <row r="94" spans="1:19" x14ac:dyDescent="0.35">
      <c r="A94" s="5" t="s">
        <v>2813</v>
      </c>
      <c r="B94" s="5" t="s">
        <v>2814</v>
      </c>
      <c r="C94" s="5" t="s">
        <v>2815</v>
      </c>
      <c r="D94" s="5" t="s">
        <v>17</v>
      </c>
      <c r="E94" s="5" t="s">
        <v>19</v>
      </c>
      <c r="F94" s="5" t="s">
        <v>241</v>
      </c>
      <c r="G94" s="5" t="s">
        <v>242</v>
      </c>
      <c r="H94" s="5" t="s">
        <v>242</v>
      </c>
      <c r="I94" s="5" t="s">
        <v>138</v>
      </c>
      <c r="J94" s="5" t="s">
        <v>1496</v>
      </c>
      <c r="K94" s="5" t="s">
        <v>426</v>
      </c>
      <c r="L94" s="7">
        <v>45582</v>
      </c>
      <c r="M94" s="7">
        <v>46296</v>
      </c>
      <c r="N94" s="10" t="s">
        <v>2777</v>
      </c>
      <c r="O94" s="5" t="s">
        <v>2494</v>
      </c>
      <c r="P94" s="5" t="s">
        <v>2499</v>
      </c>
      <c r="Q94" s="6"/>
      <c r="R94" s="6"/>
      <c r="S94" s="52" t="s">
        <v>2488</v>
      </c>
    </row>
    <row r="95" spans="1:19" x14ac:dyDescent="0.35">
      <c r="A95" s="5" t="s">
        <v>2816</v>
      </c>
      <c r="B95" s="5" t="s">
        <v>2817</v>
      </c>
      <c r="C95" s="5" t="s">
        <v>2818</v>
      </c>
      <c r="D95" s="5" t="s">
        <v>28</v>
      </c>
      <c r="E95" s="5" t="s">
        <v>19</v>
      </c>
      <c r="F95" s="5" t="s">
        <v>20</v>
      </c>
      <c r="G95" s="5" t="s">
        <v>20</v>
      </c>
      <c r="H95" s="5" t="s">
        <v>20</v>
      </c>
      <c r="I95" s="5" t="s">
        <v>157</v>
      </c>
      <c r="J95" s="5" t="s">
        <v>1057</v>
      </c>
      <c r="K95" s="5" t="s">
        <v>272</v>
      </c>
      <c r="L95" s="7">
        <v>45586</v>
      </c>
      <c r="M95" s="7">
        <v>46108</v>
      </c>
      <c r="N95" s="10" t="s">
        <v>2485</v>
      </c>
      <c r="O95" s="5" t="s">
        <v>2494</v>
      </c>
      <c r="P95" s="5" t="s">
        <v>2819</v>
      </c>
      <c r="Q95" s="6"/>
      <c r="R95" s="6"/>
      <c r="S95" s="6" t="s">
        <v>2473</v>
      </c>
    </row>
    <row r="96" spans="1:19" x14ac:dyDescent="0.35">
      <c r="A96" s="5" t="s">
        <v>2820</v>
      </c>
      <c r="B96" s="5" t="s">
        <v>2821</v>
      </c>
      <c r="C96" s="5" t="s">
        <v>2822</v>
      </c>
      <c r="D96" s="5" t="s">
        <v>28</v>
      </c>
      <c r="E96" s="5" t="s">
        <v>19</v>
      </c>
      <c r="F96" s="5" t="s">
        <v>241</v>
      </c>
      <c r="G96" s="5" t="s">
        <v>242</v>
      </c>
      <c r="H96" s="5" t="s">
        <v>242</v>
      </c>
      <c r="I96" s="5" t="s">
        <v>138</v>
      </c>
      <c r="J96" s="5" t="s">
        <v>2823</v>
      </c>
      <c r="K96" s="5" t="s">
        <v>426</v>
      </c>
      <c r="L96" s="7">
        <v>45600</v>
      </c>
      <c r="M96" s="7">
        <v>46139</v>
      </c>
      <c r="N96" s="10" t="s">
        <v>683</v>
      </c>
      <c r="O96" s="5" t="s">
        <v>2486</v>
      </c>
      <c r="P96" s="5" t="s">
        <v>2581</v>
      </c>
      <c r="Q96" s="6"/>
      <c r="R96" s="6"/>
      <c r="S96" s="52" t="s">
        <v>2582</v>
      </c>
    </row>
    <row r="97" spans="1:19" x14ac:dyDescent="0.35">
      <c r="A97" s="5" t="s">
        <v>2824</v>
      </c>
      <c r="B97" s="5" t="s">
        <v>2825</v>
      </c>
      <c r="C97" s="5" t="s">
        <v>2826</v>
      </c>
      <c r="D97" s="5" t="s">
        <v>17</v>
      </c>
      <c r="E97" s="5" t="s">
        <v>156</v>
      </c>
      <c r="F97" s="5" t="s">
        <v>241</v>
      </c>
      <c r="G97" s="5" t="s">
        <v>242</v>
      </c>
      <c r="H97" s="5" t="s">
        <v>242</v>
      </c>
      <c r="I97" s="5" t="s">
        <v>468</v>
      </c>
      <c r="J97" s="5" t="s">
        <v>194</v>
      </c>
      <c r="K97" s="5" t="s">
        <v>470</v>
      </c>
      <c r="L97" s="7">
        <v>45604</v>
      </c>
      <c r="M97" s="7">
        <v>46074</v>
      </c>
      <c r="N97" s="10" t="s">
        <v>2485</v>
      </c>
      <c r="O97" s="5" t="s">
        <v>2486</v>
      </c>
      <c r="P97" s="5" t="s">
        <v>2581</v>
      </c>
      <c r="Q97" s="6"/>
      <c r="R97" s="6"/>
      <c r="S97" s="52" t="s">
        <v>2582</v>
      </c>
    </row>
    <row r="98" spans="1:19" x14ac:dyDescent="0.35">
      <c r="A98" s="5" t="s">
        <v>2827</v>
      </c>
      <c r="B98" s="5" t="s">
        <v>2828</v>
      </c>
      <c r="C98" s="5" t="s">
        <v>2829</v>
      </c>
      <c r="D98" s="5" t="s">
        <v>28</v>
      </c>
      <c r="E98" s="5" t="s">
        <v>156</v>
      </c>
      <c r="F98" s="5" t="s">
        <v>241</v>
      </c>
      <c r="G98" s="5" t="s">
        <v>242</v>
      </c>
      <c r="H98" s="5" t="s">
        <v>242</v>
      </c>
      <c r="I98" s="5" t="s">
        <v>702</v>
      </c>
      <c r="J98" s="5" t="s">
        <v>1915</v>
      </c>
      <c r="K98" s="5" t="s">
        <v>470</v>
      </c>
      <c r="L98" s="7">
        <v>45616</v>
      </c>
      <c r="M98" s="7">
        <v>46073</v>
      </c>
      <c r="N98" s="10" t="s">
        <v>2485</v>
      </c>
      <c r="O98" s="5" t="s">
        <v>2494</v>
      </c>
      <c r="P98" s="5" t="s">
        <v>2573</v>
      </c>
      <c r="Q98" s="6"/>
      <c r="R98" s="6"/>
      <c r="S98" s="52" t="s">
        <v>2488</v>
      </c>
    </row>
    <row r="99" spans="1:19" x14ac:dyDescent="0.35">
      <c r="A99" s="5" t="s">
        <v>2830</v>
      </c>
      <c r="B99" s="5" t="s">
        <v>2831</v>
      </c>
      <c r="C99" s="5" t="s">
        <v>2832</v>
      </c>
      <c r="D99" s="5" t="s">
        <v>17</v>
      </c>
      <c r="E99" s="5" t="s">
        <v>74</v>
      </c>
      <c r="F99" s="5" t="s">
        <v>241</v>
      </c>
      <c r="G99" s="5" t="s">
        <v>242</v>
      </c>
      <c r="H99" s="5" t="s">
        <v>242</v>
      </c>
      <c r="I99" s="5" t="s">
        <v>702</v>
      </c>
      <c r="J99" s="5" t="s">
        <v>1915</v>
      </c>
      <c r="K99" s="5" t="s">
        <v>470</v>
      </c>
      <c r="L99" s="7">
        <v>45629</v>
      </c>
      <c r="M99" s="7">
        <v>46292</v>
      </c>
      <c r="N99" s="10" t="s">
        <v>2493</v>
      </c>
      <c r="O99" s="5" t="s">
        <v>2494</v>
      </c>
      <c r="P99" s="5" t="s">
        <v>2573</v>
      </c>
      <c r="Q99" s="6"/>
      <c r="R99" s="6"/>
      <c r="S99" s="52" t="s">
        <v>2488</v>
      </c>
    </row>
    <row r="100" spans="1:19" x14ac:dyDescent="0.35">
      <c r="A100" s="5" t="s">
        <v>2833</v>
      </c>
      <c r="B100" s="5" t="s">
        <v>2834</v>
      </c>
      <c r="C100" s="5" t="s">
        <v>2835</v>
      </c>
      <c r="D100" s="5" t="s">
        <v>17</v>
      </c>
      <c r="E100" s="5" t="s">
        <v>156</v>
      </c>
      <c r="F100" s="5" t="s">
        <v>241</v>
      </c>
      <c r="G100" s="5" t="s">
        <v>242</v>
      </c>
      <c r="H100" s="5" t="s">
        <v>242</v>
      </c>
      <c r="I100" s="5" t="s">
        <v>468</v>
      </c>
      <c r="J100" s="5" t="s">
        <v>2836</v>
      </c>
      <c r="K100" s="5" t="s">
        <v>470</v>
      </c>
      <c r="L100" s="7">
        <v>45635</v>
      </c>
      <c r="M100" s="7">
        <v>46029</v>
      </c>
      <c r="N100" s="10" t="s">
        <v>2485</v>
      </c>
      <c r="O100" s="5" t="s">
        <v>2486</v>
      </c>
      <c r="P100" s="5" t="s">
        <v>2693</v>
      </c>
      <c r="Q100" s="6"/>
      <c r="R100" s="6"/>
      <c r="S100" s="6" t="s">
        <v>2515</v>
      </c>
    </row>
    <row r="101" spans="1:19" x14ac:dyDescent="0.35">
      <c r="A101" s="5" t="s">
        <v>2837</v>
      </c>
      <c r="B101" s="5" t="s">
        <v>2838</v>
      </c>
      <c r="C101" s="5" t="s">
        <v>2839</v>
      </c>
      <c r="D101" s="5" t="s">
        <v>28</v>
      </c>
      <c r="E101" s="5" t="s">
        <v>225</v>
      </c>
      <c r="F101" s="5" t="s">
        <v>241</v>
      </c>
      <c r="G101" s="5" t="s">
        <v>242</v>
      </c>
      <c r="H101" s="5" t="s">
        <v>242</v>
      </c>
      <c r="I101" s="5" t="s">
        <v>39</v>
      </c>
      <c r="J101" s="5" t="s">
        <v>2840</v>
      </c>
      <c r="K101" s="5" t="s">
        <v>470</v>
      </c>
      <c r="L101" s="7">
        <v>45659</v>
      </c>
      <c r="M101" s="7">
        <v>46203</v>
      </c>
      <c r="N101" s="10" t="s">
        <v>683</v>
      </c>
      <c r="O101" s="5" t="s">
        <v>2486</v>
      </c>
      <c r="P101" s="5" t="s">
        <v>2581</v>
      </c>
      <c r="Q101" s="6"/>
      <c r="R101" s="6"/>
      <c r="S101" s="52" t="s">
        <v>2582</v>
      </c>
    </row>
    <row r="102" spans="1:19" x14ac:dyDescent="0.35">
      <c r="A102" s="5" t="s">
        <v>2841</v>
      </c>
      <c r="B102" s="5" t="s">
        <v>2842</v>
      </c>
      <c r="C102" s="5" t="s">
        <v>2843</v>
      </c>
      <c r="D102" s="5" t="s">
        <v>28</v>
      </c>
      <c r="E102" s="5" t="s">
        <v>19</v>
      </c>
      <c r="F102" s="5" t="s">
        <v>241</v>
      </c>
      <c r="G102" s="5" t="s">
        <v>242</v>
      </c>
      <c r="H102" s="5" t="s">
        <v>242</v>
      </c>
      <c r="I102" s="5" t="s">
        <v>138</v>
      </c>
      <c r="J102" s="5" t="s">
        <v>2844</v>
      </c>
      <c r="K102" s="5" t="s">
        <v>426</v>
      </c>
      <c r="L102" s="7">
        <v>45636</v>
      </c>
      <c r="M102" s="7">
        <v>46171</v>
      </c>
      <c r="N102" s="10" t="s">
        <v>683</v>
      </c>
      <c r="O102" s="5" t="s">
        <v>2486</v>
      </c>
      <c r="P102" s="5" t="s">
        <v>2845</v>
      </c>
      <c r="Q102" s="6"/>
      <c r="R102" s="6"/>
      <c r="S102" s="6" t="s">
        <v>2515</v>
      </c>
    </row>
    <row r="103" spans="1:19" x14ac:dyDescent="0.35">
      <c r="A103" s="5" t="s">
        <v>2846</v>
      </c>
      <c r="B103" s="5" t="s">
        <v>2847</v>
      </c>
      <c r="C103" s="5" t="s">
        <v>2848</v>
      </c>
      <c r="D103" s="5" t="s">
        <v>17</v>
      </c>
      <c r="E103" s="5" t="s">
        <v>156</v>
      </c>
      <c r="F103" s="5" t="s">
        <v>50</v>
      </c>
      <c r="G103" s="53" t="s">
        <v>2476</v>
      </c>
      <c r="H103" s="31" t="s">
        <v>101</v>
      </c>
      <c r="I103" s="5"/>
      <c r="J103" s="5" t="s">
        <v>106</v>
      </c>
      <c r="K103" s="5" t="s">
        <v>107</v>
      </c>
      <c r="L103" s="7">
        <v>45642</v>
      </c>
      <c r="M103" s="7">
        <v>46122</v>
      </c>
      <c r="N103" s="10" t="s">
        <v>683</v>
      </c>
      <c r="O103" s="5" t="s">
        <v>2494</v>
      </c>
      <c r="P103" s="5" t="s">
        <v>2495</v>
      </c>
      <c r="Q103" s="6"/>
      <c r="R103" s="6"/>
      <c r="S103" s="6" t="s">
        <v>2473</v>
      </c>
    </row>
    <row r="104" spans="1:19" x14ac:dyDescent="0.35">
      <c r="A104" s="5" t="s">
        <v>2849</v>
      </c>
      <c r="B104" s="5" t="s">
        <v>2850</v>
      </c>
      <c r="C104" s="5" t="s">
        <v>2851</v>
      </c>
      <c r="D104" s="5" t="s">
        <v>17</v>
      </c>
      <c r="E104" s="5" t="s">
        <v>156</v>
      </c>
      <c r="F104" s="5" t="s">
        <v>241</v>
      </c>
      <c r="G104" s="5" t="s">
        <v>242</v>
      </c>
      <c r="H104" s="5" t="s">
        <v>242</v>
      </c>
      <c r="I104" s="5" t="s">
        <v>659</v>
      </c>
      <c r="J104" s="5" t="s">
        <v>2852</v>
      </c>
      <c r="K104" s="5" t="s">
        <v>470</v>
      </c>
      <c r="L104" s="7">
        <v>45639</v>
      </c>
      <c r="M104" s="7">
        <v>46074</v>
      </c>
      <c r="N104" s="10" t="s">
        <v>2485</v>
      </c>
      <c r="O104" s="5" t="s">
        <v>2486</v>
      </c>
      <c r="P104" s="5" t="s">
        <v>2547</v>
      </c>
      <c r="Q104" s="6"/>
      <c r="R104" s="6"/>
      <c r="S104" s="52" t="s">
        <v>2488</v>
      </c>
    </row>
    <row r="105" spans="1:19" x14ac:dyDescent="0.35">
      <c r="A105" s="5" t="s">
        <v>2853</v>
      </c>
      <c r="B105" s="5" t="s">
        <v>2854</v>
      </c>
      <c r="C105" s="5" t="s">
        <v>2855</v>
      </c>
      <c r="D105" s="5" t="s">
        <v>28</v>
      </c>
      <c r="E105" s="5" t="s">
        <v>19</v>
      </c>
      <c r="F105" s="5" t="s">
        <v>241</v>
      </c>
      <c r="G105" s="5" t="s">
        <v>242</v>
      </c>
      <c r="H105" s="5" t="s">
        <v>242</v>
      </c>
      <c r="I105" s="5" t="s">
        <v>138</v>
      </c>
      <c r="J105" s="5" t="s">
        <v>2856</v>
      </c>
      <c r="K105" s="5" t="s">
        <v>426</v>
      </c>
      <c r="L105" s="7">
        <v>45642</v>
      </c>
      <c r="M105" s="7">
        <v>46171</v>
      </c>
      <c r="N105" s="10" t="s">
        <v>683</v>
      </c>
      <c r="O105" s="5" t="s">
        <v>2486</v>
      </c>
      <c r="P105" s="5" t="s">
        <v>2845</v>
      </c>
      <c r="Q105" s="6"/>
      <c r="R105" s="6"/>
      <c r="S105" s="6" t="s">
        <v>2515</v>
      </c>
    </row>
    <row r="106" spans="1:19" x14ac:dyDescent="0.35">
      <c r="A106" s="5" t="s">
        <v>2857</v>
      </c>
      <c r="B106" s="5" t="s">
        <v>2858</v>
      </c>
      <c r="C106" s="5" t="s">
        <v>2859</v>
      </c>
      <c r="D106" s="5" t="s">
        <v>17</v>
      </c>
      <c r="E106" s="5" t="s">
        <v>19</v>
      </c>
      <c r="F106" s="5" t="s">
        <v>29</v>
      </c>
      <c r="G106" s="5" t="s">
        <v>395</v>
      </c>
      <c r="H106" s="5" t="s">
        <v>395</v>
      </c>
      <c r="I106" s="5"/>
      <c r="J106" s="5" t="s">
        <v>2860</v>
      </c>
      <c r="K106" s="5" t="s">
        <v>210</v>
      </c>
      <c r="L106" s="7">
        <v>45642</v>
      </c>
      <c r="M106" s="7">
        <v>46185</v>
      </c>
      <c r="N106" s="10" t="s">
        <v>683</v>
      </c>
      <c r="O106" s="5" t="s">
        <v>2486</v>
      </c>
      <c r="P106" s="5" t="s">
        <v>2693</v>
      </c>
      <c r="Q106" s="6" t="s">
        <v>620</v>
      </c>
      <c r="R106" s="6" t="s">
        <v>18</v>
      </c>
      <c r="S106" s="6" t="s">
        <v>2515</v>
      </c>
    </row>
    <row r="107" spans="1:19" x14ac:dyDescent="0.35">
      <c r="A107" s="5" t="s">
        <v>2861</v>
      </c>
      <c r="B107" s="5" t="s">
        <v>2862</v>
      </c>
      <c r="C107" s="5" t="s">
        <v>2863</v>
      </c>
      <c r="D107" s="5" t="s">
        <v>28</v>
      </c>
      <c r="E107" s="5" t="s">
        <v>156</v>
      </c>
      <c r="F107" s="5" t="s">
        <v>241</v>
      </c>
      <c r="G107" s="5" t="s">
        <v>242</v>
      </c>
      <c r="H107" s="5" t="s">
        <v>242</v>
      </c>
      <c r="I107" s="5" t="s">
        <v>659</v>
      </c>
      <c r="J107" s="5" t="s">
        <v>2864</v>
      </c>
      <c r="K107" s="5" t="s">
        <v>470</v>
      </c>
      <c r="L107" s="7">
        <v>45644</v>
      </c>
      <c r="M107" s="7">
        <v>46028</v>
      </c>
      <c r="N107" s="10" t="s">
        <v>2485</v>
      </c>
      <c r="O107" s="5" t="s">
        <v>2486</v>
      </c>
      <c r="P107" s="5" t="s">
        <v>2581</v>
      </c>
      <c r="Q107" s="6"/>
      <c r="R107" s="6"/>
      <c r="S107" s="52" t="s">
        <v>2582</v>
      </c>
    </row>
    <row r="108" spans="1:19" x14ac:dyDescent="0.35">
      <c r="A108" s="5" t="s">
        <v>2865</v>
      </c>
      <c r="B108" s="5" t="s">
        <v>2866</v>
      </c>
      <c r="C108" s="5" t="s">
        <v>2867</v>
      </c>
      <c r="D108" s="5" t="s">
        <v>28</v>
      </c>
      <c r="E108" s="5" t="s">
        <v>1583</v>
      </c>
      <c r="F108" s="5" t="s">
        <v>241</v>
      </c>
      <c r="G108" s="5" t="s">
        <v>242</v>
      </c>
      <c r="H108" s="5" t="s">
        <v>242</v>
      </c>
      <c r="I108" s="5" t="s">
        <v>39</v>
      </c>
      <c r="J108" s="5" t="s">
        <v>1053</v>
      </c>
      <c r="K108" s="5" t="s">
        <v>470</v>
      </c>
      <c r="L108" s="7">
        <v>45644</v>
      </c>
      <c r="M108" s="7">
        <v>46203</v>
      </c>
      <c r="N108" s="10" t="s">
        <v>683</v>
      </c>
      <c r="O108" s="5" t="s">
        <v>2486</v>
      </c>
      <c r="P108" s="5" t="s">
        <v>2581</v>
      </c>
      <c r="Q108" s="6"/>
      <c r="R108" s="6"/>
      <c r="S108" s="52" t="s">
        <v>2582</v>
      </c>
    </row>
    <row r="109" spans="1:19" x14ac:dyDescent="0.35">
      <c r="A109" s="5" t="s">
        <v>2868</v>
      </c>
      <c r="B109" s="5" t="s">
        <v>2869</v>
      </c>
      <c r="C109" s="5" t="s">
        <v>2870</v>
      </c>
      <c r="D109" s="5" t="s">
        <v>28</v>
      </c>
      <c r="E109" s="5" t="s">
        <v>74</v>
      </c>
      <c r="F109" s="5" t="s">
        <v>241</v>
      </c>
      <c r="G109" s="5" t="s">
        <v>242</v>
      </c>
      <c r="H109" s="5" t="s">
        <v>242</v>
      </c>
      <c r="I109" s="5" t="s">
        <v>138</v>
      </c>
      <c r="J109" s="5" t="s">
        <v>2871</v>
      </c>
      <c r="K109" s="5" t="s">
        <v>426</v>
      </c>
      <c r="L109" s="7">
        <v>45649</v>
      </c>
      <c r="M109" s="7">
        <v>46203</v>
      </c>
      <c r="N109" s="10" t="s">
        <v>683</v>
      </c>
      <c r="O109" s="5" t="s">
        <v>2486</v>
      </c>
      <c r="P109" s="5" t="s">
        <v>2581</v>
      </c>
      <c r="Q109" s="6"/>
      <c r="R109" s="6"/>
      <c r="S109" s="52" t="s">
        <v>2582</v>
      </c>
    </row>
    <row r="110" spans="1:19" x14ac:dyDescent="0.35">
      <c r="A110" s="5" t="s">
        <v>2872</v>
      </c>
      <c r="B110" s="5" t="s">
        <v>2873</v>
      </c>
      <c r="C110" s="5" t="s">
        <v>2874</v>
      </c>
      <c r="D110" s="5" t="s">
        <v>17</v>
      </c>
      <c r="E110" s="5" t="s">
        <v>156</v>
      </c>
      <c r="F110" s="5" t="s">
        <v>241</v>
      </c>
      <c r="G110" s="5" t="s">
        <v>242</v>
      </c>
      <c r="H110" s="5" t="s">
        <v>242</v>
      </c>
      <c r="I110" s="5" t="s">
        <v>702</v>
      </c>
      <c r="J110" s="5" t="s">
        <v>2875</v>
      </c>
      <c r="K110" s="5" t="s">
        <v>470</v>
      </c>
      <c r="L110" s="7">
        <v>45657</v>
      </c>
      <c r="M110" s="7">
        <v>46027</v>
      </c>
      <c r="N110" s="10" t="s">
        <v>2485</v>
      </c>
      <c r="O110" s="5" t="s">
        <v>2486</v>
      </c>
      <c r="P110" s="5" t="s">
        <v>2581</v>
      </c>
      <c r="Q110" s="6"/>
      <c r="R110" s="6"/>
      <c r="S110" s="52" t="s">
        <v>2582</v>
      </c>
    </row>
    <row r="111" spans="1:19" x14ac:dyDescent="0.35">
      <c r="A111" s="5" t="s">
        <v>2876</v>
      </c>
      <c r="B111" s="5" t="s">
        <v>2877</v>
      </c>
      <c r="C111" s="5" t="s">
        <v>2878</v>
      </c>
      <c r="D111" s="5" t="s">
        <v>17</v>
      </c>
      <c r="E111" s="5" t="s">
        <v>156</v>
      </c>
      <c r="F111" s="5" t="s">
        <v>50</v>
      </c>
      <c r="G111" s="53" t="s">
        <v>2476</v>
      </c>
      <c r="H111" s="5" t="s">
        <v>3605</v>
      </c>
      <c r="I111" s="5"/>
      <c r="J111" s="5" t="s">
        <v>370</v>
      </c>
      <c r="K111" s="5" t="s">
        <v>258</v>
      </c>
      <c r="L111" s="7">
        <v>45663</v>
      </c>
      <c r="M111" s="7">
        <v>46035</v>
      </c>
      <c r="N111" s="10" t="s">
        <v>2485</v>
      </c>
      <c r="O111" s="5" t="s">
        <v>2494</v>
      </c>
      <c r="P111" s="5" t="s">
        <v>2538</v>
      </c>
      <c r="Q111" s="6"/>
      <c r="R111" s="6"/>
      <c r="S111" s="6" t="s">
        <v>2473</v>
      </c>
    </row>
    <row r="112" spans="1:19" x14ac:dyDescent="0.35">
      <c r="A112" s="5" t="s">
        <v>2879</v>
      </c>
      <c r="B112" s="5" t="s">
        <v>2880</v>
      </c>
      <c r="C112" s="5" t="s">
        <v>2881</v>
      </c>
      <c r="D112" s="5" t="s">
        <v>17</v>
      </c>
      <c r="E112" s="5" t="s">
        <v>156</v>
      </c>
      <c r="F112" s="5" t="s">
        <v>50</v>
      </c>
      <c r="G112" s="53" t="s">
        <v>2476</v>
      </c>
      <c r="H112" s="5" t="s">
        <v>3605</v>
      </c>
      <c r="I112" s="5"/>
      <c r="J112" s="5" t="s">
        <v>230</v>
      </c>
      <c r="K112" s="5" t="s">
        <v>250</v>
      </c>
      <c r="L112" s="7">
        <v>45670</v>
      </c>
      <c r="M112" s="7">
        <v>46059</v>
      </c>
      <c r="N112" s="10" t="s">
        <v>2485</v>
      </c>
      <c r="O112" s="5" t="s">
        <v>2494</v>
      </c>
      <c r="P112" s="5" t="s">
        <v>2499</v>
      </c>
      <c r="Q112" s="6"/>
      <c r="R112" s="6"/>
      <c r="S112" s="6" t="s">
        <v>2473</v>
      </c>
    </row>
    <row r="113" spans="1:19" x14ac:dyDescent="0.35">
      <c r="A113" s="5" t="s">
        <v>2882</v>
      </c>
      <c r="B113" s="5" t="s">
        <v>2883</v>
      </c>
      <c r="C113" s="5" t="s">
        <v>2884</v>
      </c>
      <c r="D113" s="5" t="s">
        <v>17</v>
      </c>
      <c r="E113" s="5" t="s">
        <v>130</v>
      </c>
      <c r="F113" s="5" t="s">
        <v>241</v>
      </c>
      <c r="G113" s="5" t="s">
        <v>242</v>
      </c>
      <c r="H113" s="5" t="s">
        <v>242</v>
      </c>
      <c r="I113" s="5" t="s">
        <v>138</v>
      </c>
      <c r="J113" s="5" t="s">
        <v>243</v>
      </c>
      <c r="K113" s="5" t="s">
        <v>426</v>
      </c>
      <c r="L113" s="7">
        <v>45670</v>
      </c>
      <c r="M113" s="7">
        <v>46224</v>
      </c>
      <c r="N113" s="10" t="s">
        <v>2493</v>
      </c>
      <c r="O113" s="5" t="s">
        <v>2486</v>
      </c>
      <c r="P113" s="5" t="s">
        <v>2581</v>
      </c>
      <c r="Q113" s="6"/>
      <c r="R113" s="6"/>
      <c r="S113" s="52" t="s">
        <v>2582</v>
      </c>
    </row>
    <row r="114" spans="1:19" x14ac:dyDescent="0.35">
      <c r="A114" s="5" t="s">
        <v>2885</v>
      </c>
      <c r="B114" s="5" t="s">
        <v>2886</v>
      </c>
      <c r="C114" s="5" t="s">
        <v>2887</v>
      </c>
      <c r="D114" s="5" t="s">
        <v>17</v>
      </c>
      <c r="E114" s="5" t="s">
        <v>130</v>
      </c>
      <c r="F114" s="5" t="s">
        <v>241</v>
      </c>
      <c r="G114" s="5" t="s">
        <v>242</v>
      </c>
      <c r="H114" s="5" t="s">
        <v>242</v>
      </c>
      <c r="I114" s="5" t="s">
        <v>39</v>
      </c>
      <c r="J114" s="5" t="s">
        <v>884</v>
      </c>
      <c r="K114" s="5" t="s">
        <v>470</v>
      </c>
      <c r="L114" s="7">
        <v>45670</v>
      </c>
      <c r="M114" s="7">
        <v>46220</v>
      </c>
      <c r="N114" s="10" t="s">
        <v>2493</v>
      </c>
      <c r="O114" s="5" t="s">
        <v>2486</v>
      </c>
      <c r="P114" s="5" t="s">
        <v>2581</v>
      </c>
      <c r="Q114" s="6"/>
      <c r="R114" s="6"/>
      <c r="S114" s="52" t="s">
        <v>2582</v>
      </c>
    </row>
    <row r="115" spans="1:19" x14ac:dyDescent="0.35">
      <c r="A115" s="5" t="s">
        <v>2888</v>
      </c>
      <c r="B115" s="5" t="s">
        <v>2889</v>
      </c>
      <c r="C115" s="5" t="s">
        <v>2890</v>
      </c>
      <c r="D115" s="5" t="s">
        <v>17</v>
      </c>
      <c r="E115" s="5" t="s">
        <v>156</v>
      </c>
      <c r="F115" s="5" t="s">
        <v>241</v>
      </c>
      <c r="G115" s="5" t="s">
        <v>242</v>
      </c>
      <c r="H115" s="5" t="s">
        <v>242</v>
      </c>
      <c r="I115" s="5" t="s">
        <v>702</v>
      </c>
      <c r="J115" s="5" t="s">
        <v>2891</v>
      </c>
      <c r="K115" s="5" t="s">
        <v>470</v>
      </c>
      <c r="L115" s="7">
        <v>45681</v>
      </c>
      <c r="M115" s="7">
        <v>46052</v>
      </c>
      <c r="N115" s="10" t="s">
        <v>2485</v>
      </c>
      <c r="O115" s="5" t="s">
        <v>2486</v>
      </c>
      <c r="P115" s="5" t="s">
        <v>2581</v>
      </c>
      <c r="Q115" s="6"/>
      <c r="R115" s="6"/>
      <c r="S115" s="52" t="s">
        <v>2582</v>
      </c>
    </row>
    <row r="116" spans="1:19" x14ac:dyDescent="0.35">
      <c r="A116" s="5" t="s">
        <v>2892</v>
      </c>
      <c r="B116" s="5" t="s">
        <v>2893</v>
      </c>
      <c r="C116" s="5" t="s">
        <v>2894</v>
      </c>
      <c r="D116" s="5" t="s">
        <v>17</v>
      </c>
      <c r="E116" s="5" t="s">
        <v>225</v>
      </c>
      <c r="F116" s="5" t="s">
        <v>241</v>
      </c>
      <c r="G116" s="5" t="s">
        <v>242</v>
      </c>
      <c r="H116" s="5" t="s">
        <v>242</v>
      </c>
      <c r="I116" s="5" t="s">
        <v>39</v>
      </c>
      <c r="J116" s="5" t="s">
        <v>431</v>
      </c>
      <c r="K116" s="5" t="s">
        <v>470</v>
      </c>
      <c r="L116" s="7">
        <v>45685</v>
      </c>
      <c r="M116" s="7">
        <v>46241</v>
      </c>
      <c r="N116" s="10" t="s">
        <v>2493</v>
      </c>
      <c r="O116" s="5" t="s">
        <v>2486</v>
      </c>
      <c r="P116" s="5" t="s">
        <v>2581</v>
      </c>
      <c r="Q116" s="6"/>
      <c r="R116" s="6"/>
      <c r="S116" s="52" t="s">
        <v>2582</v>
      </c>
    </row>
    <row r="117" spans="1:19" x14ac:dyDescent="0.35">
      <c r="A117" s="5" t="s">
        <v>2895</v>
      </c>
      <c r="B117" s="5" t="s">
        <v>2896</v>
      </c>
      <c r="C117" s="5" t="s">
        <v>2897</v>
      </c>
      <c r="D117" s="5" t="s">
        <v>17</v>
      </c>
      <c r="E117" s="5" t="s">
        <v>225</v>
      </c>
      <c r="F117" s="5" t="s">
        <v>241</v>
      </c>
      <c r="G117" s="5" t="s">
        <v>242</v>
      </c>
      <c r="H117" s="5" t="s">
        <v>242</v>
      </c>
      <c r="I117" s="5" t="s">
        <v>39</v>
      </c>
      <c r="J117" s="5" t="s">
        <v>2898</v>
      </c>
      <c r="K117" s="5" t="s">
        <v>470</v>
      </c>
      <c r="L117" s="7">
        <v>45698</v>
      </c>
      <c r="M117" s="7">
        <v>46234</v>
      </c>
      <c r="N117" s="10" t="s">
        <v>2493</v>
      </c>
      <c r="O117" s="5" t="s">
        <v>2486</v>
      </c>
      <c r="P117" s="5" t="s">
        <v>2581</v>
      </c>
      <c r="Q117" s="6"/>
      <c r="R117" s="6"/>
      <c r="S117" s="52" t="s">
        <v>2582</v>
      </c>
    </row>
    <row r="118" spans="1:19" x14ac:dyDescent="0.35">
      <c r="A118" s="5" t="s">
        <v>2899</v>
      </c>
      <c r="B118" s="5" t="s">
        <v>2900</v>
      </c>
      <c r="C118" s="5" t="s">
        <v>2901</v>
      </c>
      <c r="D118" s="5" t="s">
        <v>28</v>
      </c>
      <c r="E118" s="5" t="s">
        <v>156</v>
      </c>
      <c r="F118" s="5" t="s">
        <v>20</v>
      </c>
      <c r="G118" s="5" t="s">
        <v>20</v>
      </c>
      <c r="H118" s="5" t="s">
        <v>20</v>
      </c>
      <c r="I118" s="5" t="s">
        <v>165</v>
      </c>
      <c r="J118" s="5" t="s">
        <v>175</v>
      </c>
      <c r="K118" s="5" t="s">
        <v>163</v>
      </c>
      <c r="L118" s="7">
        <v>45691</v>
      </c>
      <c r="M118" s="7">
        <v>46120</v>
      </c>
      <c r="N118" s="10" t="s">
        <v>683</v>
      </c>
      <c r="O118" s="5" t="s">
        <v>2494</v>
      </c>
      <c r="P118" s="5" t="s">
        <v>2538</v>
      </c>
      <c r="Q118" s="6"/>
      <c r="R118" s="6"/>
      <c r="S118" s="6" t="s">
        <v>2473</v>
      </c>
    </row>
    <row r="119" spans="1:19" x14ac:dyDescent="0.35">
      <c r="A119" s="5" t="s">
        <v>2902</v>
      </c>
      <c r="B119" s="5" t="s">
        <v>2903</v>
      </c>
      <c r="C119" s="5" t="s">
        <v>2904</v>
      </c>
      <c r="D119" s="5" t="s">
        <v>17</v>
      </c>
      <c r="E119" s="5" t="s">
        <v>130</v>
      </c>
      <c r="F119" s="5" t="s">
        <v>241</v>
      </c>
      <c r="G119" s="5" t="s">
        <v>242</v>
      </c>
      <c r="H119" s="5" t="s">
        <v>242</v>
      </c>
      <c r="I119" s="5" t="s">
        <v>39</v>
      </c>
      <c r="J119" s="5" t="s">
        <v>2905</v>
      </c>
      <c r="K119" s="5" t="s">
        <v>470</v>
      </c>
      <c r="L119" s="7">
        <v>45693</v>
      </c>
      <c r="M119" s="7">
        <v>46257</v>
      </c>
      <c r="N119" s="10" t="s">
        <v>2493</v>
      </c>
      <c r="O119" s="5" t="s">
        <v>2486</v>
      </c>
      <c r="P119" s="5" t="s">
        <v>2581</v>
      </c>
      <c r="Q119" s="6"/>
      <c r="R119" s="6"/>
      <c r="S119" s="52" t="s">
        <v>2582</v>
      </c>
    </row>
    <row r="120" spans="1:19" x14ac:dyDescent="0.35">
      <c r="A120" s="5" t="s">
        <v>2906</v>
      </c>
      <c r="B120" s="5" t="s">
        <v>2907</v>
      </c>
      <c r="C120" s="5" t="s">
        <v>2908</v>
      </c>
      <c r="D120" s="5" t="s">
        <v>17</v>
      </c>
      <c r="E120" s="5" t="s">
        <v>19</v>
      </c>
      <c r="F120" s="5" t="s">
        <v>241</v>
      </c>
      <c r="G120" s="5" t="s">
        <v>242</v>
      </c>
      <c r="H120" s="5" t="s">
        <v>242</v>
      </c>
      <c r="I120" s="5"/>
      <c r="J120" s="5" t="s">
        <v>2909</v>
      </c>
      <c r="K120" s="5" t="s">
        <v>470</v>
      </c>
      <c r="L120" s="7">
        <v>45693</v>
      </c>
      <c r="M120" s="7">
        <v>46069</v>
      </c>
      <c r="N120" s="10" t="s">
        <v>2485</v>
      </c>
      <c r="O120" s="5" t="s">
        <v>2494</v>
      </c>
      <c r="P120" s="5" t="s">
        <v>2573</v>
      </c>
      <c r="Q120" s="6"/>
      <c r="R120" s="6"/>
      <c r="S120" s="52" t="s">
        <v>2488</v>
      </c>
    </row>
    <row r="121" spans="1:19" x14ac:dyDescent="0.35">
      <c r="A121" s="5" t="s">
        <v>2910</v>
      </c>
      <c r="B121" s="5" t="s">
        <v>2911</v>
      </c>
      <c r="C121" s="5" t="s">
        <v>2912</v>
      </c>
      <c r="D121" s="5" t="s">
        <v>17</v>
      </c>
      <c r="E121" s="5" t="s">
        <v>130</v>
      </c>
      <c r="F121" s="5" t="s">
        <v>241</v>
      </c>
      <c r="G121" s="5" t="s">
        <v>242</v>
      </c>
      <c r="H121" s="5" t="s">
        <v>242</v>
      </c>
      <c r="I121" s="5" t="s">
        <v>138</v>
      </c>
      <c r="J121" s="5" t="s">
        <v>2913</v>
      </c>
      <c r="K121" s="5" t="s">
        <v>426</v>
      </c>
      <c r="L121" s="7">
        <v>45699</v>
      </c>
      <c r="M121" s="7">
        <v>46206</v>
      </c>
      <c r="N121" s="10" t="s">
        <v>2493</v>
      </c>
      <c r="O121" s="5" t="s">
        <v>2486</v>
      </c>
      <c r="P121" s="5" t="s">
        <v>2845</v>
      </c>
      <c r="Q121" s="6"/>
      <c r="R121" s="6"/>
      <c r="S121" s="6" t="s">
        <v>2515</v>
      </c>
    </row>
    <row r="122" spans="1:19" x14ac:dyDescent="0.35">
      <c r="A122" s="5" t="s">
        <v>2914</v>
      </c>
      <c r="B122" s="5" t="s">
        <v>2915</v>
      </c>
      <c r="C122" s="5" t="s">
        <v>2916</v>
      </c>
      <c r="D122" s="5" t="s">
        <v>28</v>
      </c>
      <c r="E122" s="5" t="s">
        <v>225</v>
      </c>
      <c r="F122" s="5" t="s">
        <v>241</v>
      </c>
      <c r="G122" s="5" t="s">
        <v>242</v>
      </c>
      <c r="H122" s="5" t="s">
        <v>242</v>
      </c>
      <c r="I122" s="5" t="s">
        <v>39</v>
      </c>
      <c r="J122" s="5" t="s">
        <v>2917</v>
      </c>
      <c r="K122" s="5" t="s">
        <v>470</v>
      </c>
      <c r="L122" s="7">
        <v>45699</v>
      </c>
      <c r="M122" s="7">
        <v>46234</v>
      </c>
      <c r="N122" s="10" t="s">
        <v>2493</v>
      </c>
      <c r="O122" s="5" t="s">
        <v>2486</v>
      </c>
      <c r="P122" s="5" t="s">
        <v>2581</v>
      </c>
      <c r="Q122" s="6"/>
      <c r="R122" s="6"/>
      <c r="S122" s="52" t="s">
        <v>2582</v>
      </c>
    </row>
    <row r="123" spans="1:19" x14ac:dyDescent="0.35">
      <c r="A123" s="5" t="s">
        <v>2918</v>
      </c>
      <c r="B123" s="5" t="s">
        <v>2919</v>
      </c>
      <c r="C123" s="5" t="s">
        <v>2920</v>
      </c>
      <c r="D123" s="5" t="s">
        <v>17</v>
      </c>
      <c r="E123" s="5" t="s">
        <v>130</v>
      </c>
      <c r="F123" s="5" t="s">
        <v>241</v>
      </c>
      <c r="G123" s="5" t="s">
        <v>242</v>
      </c>
      <c r="H123" s="5" t="s">
        <v>242</v>
      </c>
      <c r="I123" s="5" t="s">
        <v>39</v>
      </c>
      <c r="J123" s="5" t="s">
        <v>892</v>
      </c>
      <c r="K123" s="5" t="s">
        <v>470</v>
      </c>
      <c r="L123" s="7">
        <v>45701</v>
      </c>
      <c r="M123" s="7">
        <v>46262</v>
      </c>
      <c r="N123" s="10" t="s">
        <v>2493</v>
      </c>
      <c r="O123" s="5" t="s">
        <v>2486</v>
      </c>
      <c r="P123" s="5" t="s">
        <v>2693</v>
      </c>
      <c r="Q123" s="6"/>
      <c r="R123" s="6"/>
      <c r="S123" s="6" t="s">
        <v>2515</v>
      </c>
    </row>
    <row r="124" spans="1:19" x14ac:dyDescent="0.35">
      <c r="A124" s="5" t="s">
        <v>2921</v>
      </c>
      <c r="B124" s="5" t="s">
        <v>2922</v>
      </c>
      <c r="C124" s="5" t="s">
        <v>2923</v>
      </c>
      <c r="D124" s="5" t="s">
        <v>17</v>
      </c>
      <c r="E124" s="5" t="s">
        <v>156</v>
      </c>
      <c r="F124" s="5" t="s">
        <v>50</v>
      </c>
      <c r="G124" s="53" t="s">
        <v>2476</v>
      </c>
      <c r="H124" s="5" t="s">
        <v>3605</v>
      </c>
      <c r="I124" s="5"/>
      <c r="J124" s="5" t="s">
        <v>803</v>
      </c>
      <c r="K124" s="5" t="s">
        <v>527</v>
      </c>
      <c r="L124" s="7">
        <v>45705</v>
      </c>
      <c r="M124" s="7">
        <v>46062</v>
      </c>
      <c r="N124" s="10" t="s">
        <v>2485</v>
      </c>
      <c r="O124" s="5" t="s">
        <v>2486</v>
      </c>
      <c r="P124" s="5" t="s">
        <v>2547</v>
      </c>
      <c r="Q124" s="6"/>
      <c r="R124" s="6"/>
      <c r="S124" s="6" t="s">
        <v>2473</v>
      </c>
    </row>
    <row r="125" spans="1:19" x14ac:dyDescent="0.35">
      <c r="A125" s="5" t="s">
        <v>2924</v>
      </c>
      <c r="B125" s="5" t="s">
        <v>2925</v>
      </c>
      <c r="C125" s="5" t="s">
        <v>2926</v>
      </c>
      <c r="D125" s="5" t="s">
        <v>17</v>
      </c>
      <c r="E125" s="5" t="s">
        <v>156</v>
      </c>
      <c r="F125" s="5" t="s">
        <v>50</v>
      </c>
      <c r="G125" s="53" t="s">
        <v>2476</v>
      </c>
      <c r="H125" s="5" t="s">
        <v>3605</v>
      </c>
      <c r="I125" s="5"/>
      <c r="J125" s="5" t="s">
        <v>803</v>
      </c>
      <c r="K125" s="5" t="s">
        <v>2524</v>
      </c>
      <c r="L125" s="7">
        <v>45705</v>
      </c>
      <c r="M125" s="7">
        <v>46094</v>
      </c>
      <c r="N125" s="10" t="s">
        <v>2485</v>
      </c>
      <c r="O125" s="5" t="s">
        <v>2486</v>
      </c>
      <c r="P125" s="5" t="s">
        <v>2547</v>
      </c>
      <c r="Q125" s="6"/>
      <c r="R125" s="6"/>
      <c r="S125" s="6" t="s">
        <v>2473</v>
      </c>
    </row>
    <row r="126" spans="1:19" x14ac:dyDescent="0.35">
      <c r="A126" s="5" t="s">
        <v>2927</v>
      </c>
      <c r="B126" s="5" t="s">
        <v>2928</v>
      </c>
      <c r="C126" s="5" t="s">
        <v>2929</v>
      </c>
      <c r="D126" s="5" t="s">
        <v>17</v>
      </c>
      <c r="E126" s="5" t="s">
        <v>156</v>
      </c>
      <c r="F126" s="5" t="s">
        <v>29</v>
      </c>
      <c r="G126" s="53" t="s">
        <v>2476</v>
      </c>
      <c r="H126" s="5" t="s">
        <v>3605</v>
      </c>
      <c r="I126" s="5"/>
      <c r="J126" s="5" t="s">
        <v>803</v>
      </c>
      <c r="K126" s="5" t="s">
        <v>2524</v>
      </c>
      <c r="L126" s="7">
        <v>45705</v>
      </c>
      <c r="M126" s="7">
        <v>46073</v>
      </c>
      <c r="N126" s="10" t="s">
        <v>2485</v>
      </c>
      <c r="O126" s="5" t="s">
        <v>2494</v>
      </c>
      <c r="P126" s="5" t="s">
        <v>2680</v>
      </c>
      <c r="Q126" s="6"/>
      <c r="R126" s="6"/>
      <c r="S126" s="6" t="s">
        <v>2473</v>
      </c>
    </row>
    <row r="127" spans="1:19" x14ac:dyDescent="0.35">
      <c r="A127" s="5" t="s">
        <v>2930</v>
      </c>
      <c r="B127" s="5" t="s">
        <v>2931</v>
      </c>
      <c r="C127" s="5" t="s">
        <v>2932</v>
      </c>
      <c r="D127" s="5" t="s">
        <v>17</v>
      </c>
      <c r="E127" s="5" t="s">
        <v>156</v>
      </c>
      <c r="F127" s="5" t="s">
        <v>50</v>
      </c>
      <c r="G127" s="53" t="s">
        <v>2476</v>
      </c>
      <c r="H127" s="5" t="s">
        <v>3605</v>
      </c>
      <c r="I127" s="5"/>
      <c r="J127" s="5" t="s">
        <v>803</v>
      </c>
      <c r="K127" s="5" t="s">
        <v>365</v>
      </c>
      <c r="L127" s="7">
        <v>45705</v>
      </c>
      <c r="M127" s="7">
        <v>46276</v>
      </c>
      <c r="N127" s="10" t="s">
        <v>2493</v>
      </c>
      <c r="O127" s="5" t="s">
        <v>2494</v>
      </c>
      <c r="P127" s="5" t="s">
        <v>2495</v>
      </c>
      <c r="Q127" s="6"/>
      <c r="R127" s="6"/>
      <c r="S127" s="6" t="s">
        <v>2473</v>
      </c>
    </row>
    <row r="128" spans="1:19" x14ac:dyDescent="0.35">
      <c r="A128" s="5" t="s">
        <v>2933</v>
      </c>
      <c r="B128" s="5" t="s">
        <v>2934</v>
      </c>
      <c r="C128" s="5" t="s">
        <v>2935</v>
      </c>
      <c r="D128" s="5" t="s">
        <v>17</v>
      </c>
      <c r="E128" s="5" t="s">
        <v>156</v>
      </c>
      <c r="F128" s="5" t="s">
        <v>50</v>
      </c>
      <c r="G128" s="53" t="s">
        <v>2476</v>
      </c>
      <c r="H128" s="5" t="s">
        <v>3605</v>
      </c>
      <c r="I128" s="5"/>
      <c r="J128" s="5" t="s">
        <v>803</v>
      </c>
      <c r="K128" s="5" t="s">
        <v>258</v>
      </c>
      <c r="L128" s="7">
        <v>45705</v>
      </c>
      <c r="M128" s="7">
        <v>46080</v>
      </c>
      <c r="N128" s="10" t="s">
        <v>2485</v>
      </c>
      <c r="O128" s="5" t="s">
        <v>2486</v>
      </c>
      <c r="P128" s="5" t="s">
        <v>2547</v>
      </c>
      <c r="Q128" s="6"/>
      <c r="R128" s="6"/>
      <c r="S128" s="6" t="s">
        <v>2473</v>
      </c>
    </row>
    <row r="129" spans="1:19" x14ac:dyDescent="0.35">
      <c r="A129" s="5" t="s">
        <v>2936</v>
      </c>
      <c r="B129" s="5" t="s">
        <v>2937</v>
      </c>
      <c r="C129" s="5" t="s">
        <v>2938</v>
      </c>
      <c r="D129" s="5" t="s">
        <v>28</v>
      </c>
      <c r="E129" s="5" t="s">
        <v>156</v>
      </c>
      <c r="F129" s="5" t="s">
        <v>29</v>
      </c>
      <c r="G129" s="53" t="s">
        <v>2476</v>
      </c>
      <c r="H129" s="5" t="s">
        <v>3605</v>
      </c>
      <c r="I129" s="5"/>
      <c r="J129" s="5" t="s">
        <v>803</v>
      </c>
      <c r="K129" s="5" t="s">
        <v>258</v>
      </c>
      <c r="L129" s="7">
        <v>45705</v>
      </c>
      <c r="M129" s="7">
        <v>46084</v>
      </c>
      <c r="N129" s="10" t="s">
        <v>2485</v>
      </c>
      <c r="O129" s="5" t="s">
        <v>2494</v>
      </c>
      <c r="P129" s="5" t="s">
        <v>2538</v>
      </c>
      <c r="Q129" s="6"/>
      <c r="R129" s="6"/>
      <c r="S129" s="6" t="s">
        <v>2473</v>
      </c>
    </row>
    <row r="130" spans="1:19" x14ac:dyDescent="0.35">
      <c r="A130" s="5" t="s">
        <v>2939</v>
      </c>
      <c r="B130" s="5" t="s">
        <v>2940</v>
      </c>
      <c r="C130" s="5" t="s">
        <v>2941</v>
      </c>
      <c r="D130" s="5" t="s">
        <v>17</v>
      </c>
      <c r="E130" s="5" t="s">
        <v>130</v>
      </c>
      <c r="F130" s="5" t="s">
        <v>241</v>
      </c>
      <c r="G130" s="5" t="s">
        <v>242</v>
      </c>
      <c r="H130" s="5" t="s">
        <v>242</v>
      </c>
      <c r="I130" s="5" t="s">
        <v>39</v>
      </c>
      <c r="J130" s="5" t="s">
        <v>892</v>
      </c>
      <c r="K130" s="5" t="s">
        <v>470</v>
      </c>
      <c r="L130" s="7">
        <v>45706</v>
      </c>
      <c r="M130" s="7">
        <v>46267</v>
      </c>
      <c r="N130" s="10" t="s">
        <v>2493</v>
      </c>
      <c r="O130" s="5" t="s">
        <v>2494</v>
      </c>
      <c r="P130" s="5" t="s">
        <v>2581</v>
      </c>
      <c r="Q130" s="6"/>
      <c r="R130" s="6"/>
      <c r="S130" s="52" t="s">
        <v>2582</v>
      </c>
    </row>
    <row r="131" spans="1:19" x14ac:dyDescent="0.35">
      <c r="A131" s="5" t="s">
        <v>2942</v>
      </c>
      <c r="B131" s="5" t="s">
        <v>2943</v>
      </c>
      <c r="C131" s="5" t="s">
        <v>2944</v>
      </c>
      <c r="D131" s="5" t="s">
        <v>28</v>
      </c>
      <c r="E131" s="5" t="s">
        <v>156</v>
      </c>
      <c r="F131" s="5" t="s">
        <v>29</v>
      </c>
      <c r="G131" s="53" t="s">
        <v>2476</v>
      </c>
      <c r="H131" s="5" t="s">
        <v>3605</v>
      </c>
      <c r="I131" s="5"/>
      <c r="J131" s="5" t="s">
        <v>803</v>
      </c>
      <c r="K131" s="5" t="s">
        <v>527</v>
      </c>
      <c r="L131" s="7">
        <v>45705</v>
      </c>
      <c r="M131" s="7">
        <v>46188</v>
      </c>
      <c r="N131" s="10" t="s">
        <v>683</v>
      </c>
      <c r="O131" s="5" t="s">
        <v>2486</v>
      </c>
      <c r="P131" s="5" t="s">
        <v>2487</v>
      </c>
      <c r="Q131" s="6"/>
      <c r="R131" s="6"/>
      <c r="S131" s="6" t="s">
        <v>2473</v>
      </c>
    </row>
    <row r="132" spans="1:19" x14ac:dyDescent="0.35">
      <c r="A132" s="5" t="s">
        <v>2945</v>
      </c>
      <c r="B132" s="5" t="s">
        <v>2946</v>
      </c>
      <c r="C132" s="5" t="s">
        <v>2947</v>
      </c>
      <c r="D132" s="5" t="s">
        <v>28</v>
      </c>
      <c r="E132" s="5" t="s">
        <v>19</v>
      </c>
      <c r="F132" s="5" t="s">
        <v>29</v>
      </c>
      <c r="G132" s="5" t="s">
        <v>395</v>
      </c>
      <c r="H132" s="5" t="s">
        <v>395</v>
      </c>
      <c r="I132" s="5"/>
      <c r="J132" s="5" t="s">
        <v>506</v>
      </c>
      <c r="K132" s="5" t="s">
        <v>210</v>
      </c>
      <c r="L132" s="7">
        <v>45707</v>
      </c>
      <c r="M132" s="7">
        <v>46076</v>
      </c>
      <c r="N132" s="10" t="s">
        <v>2485</v>
      </c>
      <c r="O132" s="5" t="s">
        <v>2494</v>
      </c>
      <c r="P132" s="5" t="s">
        <v>2538</v>
      </c>
      <c r="Q132" s="6" t="s">
        <v>2731</v>
      </c>
      <c r="R132" s="6" t="s">
        <v>33</v>
      </c>
      <c r="S132" s="6" t="s">
        <v>2475</v>
      </c>
    </row>
    <row r="133" spans="1:19" x14ac:dyDescent="0.35">
      <c r="A133" s="5" t="s">
        <v>2948</v>
      </c>
      <c r="B133" s="5" t="s">
        <v>2949</v>
      </c>
      <c r="C133" s="5" t="s">
        <v>2950</v>
      </c>
      <c r="D133" s="5" t="s">
        <v>17</v>
      </c>
      <c r="E133" s="5" t="s">
        <v>19</v>
      </c>
      <c r="F133" s="5" t="s">
        <v>29</v>
      </c>
      <c r="G133" s="5" t="s">
        <v>395</v>
      </c>
      <c r="H133" s="5" t="s">
        <v>395</v>
      </c>
      <c r="I133" s="5"/>
      <c r="J133" s="5" t="s">
        <v>212</v>
      </c>
      <c r="K133" s="5" t="s">
        <v>188</v>
      </c>
      <c r="L133" s="7">
        <v>45713</v>
      </c>
      <c r="M133" s="7">
        <v>46134</v>
      </c>
      <c r="N133" s="10" t="s">
        <v>683</v>
      </c>
      <c r="O133" s="5" t="s">
        <v>2486</v>
      </c>
      <c r="P133" s="5" t="s">
        <v>2951</v>
      </c>
      <c r="Q133" s="6" t="s">
        <v>56</v>
      </c>
      <c r="R133" s="6" t="s">
        <v>18</v>
      </c>
      <c r="S133" s="6" t="s">
        <v>2475</v>
      </c>
    </row>
    <row r="134" spans="1:19" x14ac:dyDescent="0.35">
      <c r="A134" s="5" t="s">
        <v>2952</v>
      </c>
      <c r="B134" s="5" t="s">
        <v>2953</v>
      </c>
      <c r="C134" s="5" t="s">
        <v>2954</v>
      </c>
      <c r="D134" s="5" t="s">
        <v>17</v>
      </c>
      <c r="E134" s="5" t="s">
        <v>19</v>
      </c>
      <c r="F134" s="5" t="s">
        <v>241</v>
      </c>
      <c r="G134" s="5" t="s">
        <v>242</v>
      </c>
      <c r="H134" s="5" t="s">
        <v>242</v>
      </c>
      <c r="I134" s="5" t="s">
        <v>39</v>
      </c>
      <c r="J134" s="5" t="s">
        <v>1015</v>
      </c>
      <c r="K134" s="5" t="s">
        <v>470</v>
      </c>
      <c r="L134" s="7">
        <v>45735</v>
      </c>
      <c r="M134" s="7">
        <v>46037</v>
      </c>
      <c r="N134" s="10" t="s">
        <v>2485</v>
      </c>
      <c r="O134" s="5" t="s">
        <v>2486</v>
      </c>
      <c r="P134" s="5" t="s">
        <v>2581</v>
      </c>
      <c r="Q134" s="6"/>
      <c r="R134" s="6"/>
      <c r="S134" s="52" t="s">
        <v>2582</v>
      </c>
    </row>
    <row r="135" spans="1:19" x14ac:dyDescent="0.35">
      <c r="A135" s="5" t="s">
        <v>2955</v>
      </c>
      <c r="B135" s="5" t="s">
        <v>2956</v>
      </c>
      <c r="C135" s="5" t="s">
        <v>2957</v>
      </c>
      <c r="D135" s="5" t="s">
        <v>28</v>
      </c>
      <c r="E135" s="5" t="s">
        <v>19</v>
      </c>
      <c r="F135" s="5" t="s">
        <v>241</v>
      </c>
      <c r="G135" s="5" t="s">
        <v>242</v>
      </c>
      <c r="H135" s="5" t="s">
        <v>242</v>
      </c>
      <c r="I135" s="5" t="s">
        <v>138</v>
      </c>
      <c r="J135" s="5" t="s">
        <v>843</v>
      </c>
      <c r="K135" s="5" t="s">
        <v>426</v>
      </c>
      <c r="L135" s="7">
        <v>45719</v>
      </c>
      <c r="M135" s="7">
        <v>46052</v>
      </c>
      <c r="N135" s="10" t="s">
        <v>2485</v>
      </c>
      <c r="O135" s="5" t="s">
        <v>2486</v>
      </c>
      <c r="P135" s="5" t="s">
        <v>2581</v>
      </c>
      <c r="Q135" s="6"/>
      <c r="R135" s="6"/>
      <c r="S135" s="52" t="s">
        <v>2582</v>
      </c>
    </row>
    <row r="136" spans="1:19" x14ac:dyDescent="0.35">
      <c r="A136" s="5" t="s">
        <v>2958</v>
      </c>
      <c r="B136" s="5" t="s">
        <v>2959</v>
      </c>
      <c r="C136" s="5" t="s">
        <v>2960</v>
      </c>
      <c r="D136" s="5" t="s">
        <v>28</v>
      </c>
      <c r="E136" s="5" t="s">
        <v>130</v>
      </c>
      <c r="F136" s="5" t="s">
        <v>241</v>
      </c>
      <c r="G136" s="5" t="s">
        <v>242</v>
      </c>
      <c r="H136" s="5" t="s">
        <v>242</v>
      </c>
      <c r="I136" s="5" t="s">
        <v>39</v>
      </c>
      <c r="J136" s="5" t="s">
        <v>2961</v>
      </c>
      <c r="K136" s="5" t="s">
        <v>470</v>
      </c>
      <c r="L136" s="7">
        <v>45720</v>
      </c>
      <c r="M136" s="7">
        <v>46281</v>
      </c>
      <c r="N136" s="10" t="s">
        <v>2493</v>
      </c>
      <c r="O136" s="5" t="s">
        <v>2486</v>
      </c>
      <c r="P136" s="5" t="s">
        <v>2581</v>
      </c>
      <c r="Q136" s="6"/>
      <c r="R136" s="6"/>
      <c r="S136" s="52" t="s">
        <v>2582</v>
      </c>
    </row>
    <row r="137" spans="1:19" x14ac:dyDescent="0.35">
      <c r="A137" s="5" t="s">
        <v>2962</v>
      </c>
      <c r="B137" s="5" t="s">
        <v>2963</v>
      </c>
      <c r="C137" s="5" t="s">
        <v>2964</v>
      </c>
      <c r="D137" s="5" t="s">
        <v>28</v>
      </c>
      <c r="E137" s="5" t="s">
        <v>156</v>
      </c>
      <c r="F137" s="5" t="s">
        <v>50</v>
      </c>
      <c r="G137" s="53" t="s">
        <v>2476</v>
      </c>
      <c r="H137" s="5" t="s">
        <v>3605</v>
      </c>
      <c r="I137" s="5"/>
      <c r="J137" s="5" t="s">
        <v>370</v>
      </c>
      <c r="K137" s="5" t="s">
        <v>527</v>
      </c>
      <c r="L137" s="7">
        <v>45726</v>
      </c>
      <c r="M137" s="7">
        <v>46164</v>
      </c>
      <c r="N137" s="10" t="s">
        <v>683</v>
      </c>
      <c r="O137" s="5" t="s">
        <v>2494</v>
      </c>
      <c r="P137" s="5" t="s">
        <v>2499</v>
      </c>
      <c r="Q137" s="6"/>
      <c r="R137" s="6"/>
      <c r="S137" s="6" t="s">
        <v>2473</v>
      </c>
    </row>
    <row r="138" spans="1:19" x14ac:dyDescent="0.35">
      <c r="A138" s="5" t="s">
        <v>2965</v>
      </c>
      <c r="B138" s="5" t="s">
        <v>2966</v>
      </c>
      <c r="C138" s="5" t="s">
        <v>2967</v>
      </c>
      <c r="D138" s="5" t="s">
        <v>17</v>
      </c>
      <c r="E138" s="5" t="s">
        <v>156</v>
      </c>
      <c r="F138" s="5" t="s">
        <v>50</v>
      </c>
      <c r="G138" s="53" t="s">
        <v>2476</v>
      </c>
      <c r="H138" s="5" t="s">
        <v>3605</v>
      </c>
      <c r="I138" s="5"/>
      <c r="J138" s="5" t="s">
        <v>230</v>
      </c>
      <c r="K138" s="5" t="s">
        <v>258</v>
      </c>
      <c r="L138" s="7">
        <v>45726</v>
      </c>
      <c r="M138" s="7">
        <v>46073</v>
      </c>
      <c r="N138" s="10" t="s">
        <v>2485</v>
      </c>
      <c r="O138" s="5" t="s">
        <v>2494</v>
      </c>
      <c r="P138" s="5" t="s">
        <v>2499</v>
      </c>
      <c r="Q138" s="6"/>
      <c r="R138" s="6"/>
      <c r="S138" s="6" t="s">
        <v>2473</v>
      </c>
    </row>
    <row r="139" spans="1:19" x14ac:dyDescent="0.35">
      <c r="A139" s="5" t="s">
        <v>2968</v>
      </c>
      <c r="B139" s="5" t="s">
        <v>2969</v>
      </c>
      <c r="C139" s="5" t="s">
        <v>2970</v>
      </c>
      <c r="D139" s="5" t="s">
        <v>17</v>
      </c>
      <c r="E139" s="5" t="s">
        <v>225</v>
      </c>
      <c r="F139" s="5" t="s">
        <v>241</v>
      </c>
      <c r="G139" s="5" t="s">
        <v>242</v>
      </c>
      <c r="H139" s="5" t="s">
        <v>242</v>
      </c>
      <c r="I139" s="5" t="s">
        <v>39</v>
      </c>
      <c r="J139" s="5" t="s">
        <v>1405</v>
      </c>
      <c r="K139" s="5" t="s">
        <v>470</v>
      </c>
      <c r="L139" s="7">
        <v>45748</v>
      </c>
      <c r="M139" s="7">
        <v>46052</v>
      </c>
      <c r="N139" s="10" t="s">
        <v>2485</v>
      </c>
      <c r="O139" s="5" t="s">
        <v>2486</v>
      </c>
      <c r="P139" s="5" t="s">
        <v>2581</v>
      </c>
      <c r="Q139" s="6"/>
      <c r="R139" s="6"/>
      <c r="S139" s="52" t="s">
        <v>2582</v>
      </c>
    </row>
    <row r="140" spans="1:19" x14ac:dyDescent="0.35">
      <c r="A140" s="5" t="s">
        <v>2971</v>
      </c>
      <c r="B140" s="5" t="s">
        <v>2972</v>
      </c>
      <c r="C140" s="5" t="s">
        <v>2973</v>
      </c>
      <c r="D140" s="5" t="s">
        <v>17</v>
      </c>
      <c r="E140" s="5" t="s">
        <v>130</v>
      </c>
      <c r="F140" s="5" t="s">
        <v>241</v>
      </c>
      <c r="G140" s="5" t="s">
        <v>242</v>
      </c>
      <c r="H140" s="5" t="s">
        <v>242</v>
      </c>
      <c r="I140" s="5" t="s">
        <v>138</v>
      </c>
      <c r="J140" s="5" t="s">
        <v>2974</v>
      </c>
      <c r="K140" s="5" t="s">
        <v>426</v>
      </c>
      <c r="L140" s="7">
        <v>45729</v>
      </c>
      <c r="M140" s="7">
        <v>46227</v>
      </c>
      <c r="N140" s="10" t="s">
        <v>2493</v>
      </c>
      <c r="O140" s="5" t="s">
        <v>2486</v>
      </c>
      <c r="P140" s="5" t="s">
        <v>2581</v>
      </c>
      <c r="Q140" s="6"/>
      <c r="R140" s="6"/>
      <c r="S140" s="52" t="s">
        <v>2582</v>
      </c>
    </row>
    <row r="141" spans="1:19" x14ac:dyDescent="0.35">
      <c r="A141" s="5" t="s">
        <v>2975</v>
      </c>
      <c r="B141" s="5" t="s">
        <v>2976</v>
      </c>
      <c r="C141" s="5" t="s">
        <v>2977</v>
      </c>
      <c r="D141" s="5" t="s">
        <v>17</v>
      </c>
      <c r="E141" s="5" t="s">
        <v>19</v>
      </c>
      <c r="F141" s="5" t="s">
        <v>241</v>
      </c>
      <c r="G141" s="5" t="s">
        <v>242</v>
      </c>
      <c r="H141" s="5" t="s">
        <v>242</v>
      </c>
      <c r="I141" s="5" t="s">
        <v>138</v>
      </c>
      <c r="J141" s="5" t="s">
        <v>243</v>
      </c>
      <c r="K141" s="5" t="s">
        <v>426</v>
      </c>
      <c r="L141" s="7">
        <v>45740</v>
      </c>
      <c r="M141" s="7">
        <v>46074</v>
      </c>
      <c r="N141" s="10" t="s">
        <v>2485</v>
      </c>
      <c r="O141" s="5" t="s">
        <v>2486</v>
      </c>
      <c r="P141" s="5" t="s">
        <v>2978</v>
      </c>
      <c r="Q141" s="6"/>
      <c r="R141" s="6"/>
      <c r="S141" s="6" t="s">
        <v>2515</v>
      </c>
    </row>
    <row r="142" spans="1:19" x14ac:dyDescent="0.35">
      <c r="A142" s="5" t="s">
        <v>2979</v>
      </c>
      <c r="B142" s="5" t="s">
        <v>2980</v>
      </c>
      <c r="C142" s="5" t="s">
        <v>2981</v>
      </c>
      <c r="D142" s="5" t="s">
        <v>17</v>
      </c>
      <c r="E142" s="5" t="s">
        <v>19</v>
      </c>
      <c r="F142" s="5" t="s">
        <v>241</v>
      </c>
      <c r="G142" s="5" t="s">
        <v>242</v>
      </c>
      <c r="H142" s="5" t="s">
        <v>242</v>
      </c>
      <c r="I142" s="5" t="s">
        <v>138</v>
      </c>
      <c r="J142" s="5" t="s">
        <v>2982</v>
      </c>
      <c r="K142" s="5" t="s">
        <v>426</v>
      </c>
      <c r="L142" s="7">
        <v>45737</v>
      </c>
      <c r="M142" s="7">
        <v>46112</v>
      </c>
      <c r="N142" s="10" t="s">
        <v>2485</v>
      </c>
      <c r="O142" s="5" t="s">
        <v>2486</v>
      </c>
      <c r="P142" s="5" t="s">
        <v>2581</v>
      </c>
      <c r="Q142" s="6"/>
      <c r="R142" s="6"/>
      <c r="S142" s="52" t="s">
        <v>2582</v>
      </c>
    </row>
    <row r="143" spans="1:19" x14ac:dyDescent="0.35">
      <c r="A143" s="5" t="s">
        <v>2983</v>
      </c>
      <c r="B143" s="5" t="s">
        <v>2984</v>
      </c>
      <c r="C143" s="5" t="s">
        <v>2985</v>
      </c>
      <c r="D143" s="5" t="s">
        <v>28</v>
      </c>
      <c r="E143" s="5" t="s">
        <v>156</v>
      </c>
      <c r="F143" s="5" t="s">
        <v>241</v>
      </c>
      <c r="G143" s="5" t="s">
        <v>242</v>
      </c>
      <c r="H143" s="5" t="s">
        <v>242</v>
      </c>
      <c r="I143" s="5" t="s">
        <v>39</v>
      </c>
      <c r="J143" s="5" t="s">
        <v>2986</v>
      </c>
      <c r="K143" s="5" t="s">
        <v>470</v>
      </c>
      <c r="L143" s="7">
        <v>45740</v>
      </c>
      <c r="M143" s="7">
        <v>46156</v>
      </c>
      <c r="N143" s="10" t="s">
        <v>683</v>
      </c>
      <c r="O143" s="5" t="s">
        <v>2494</v>
      </c>
      <c r="P143" s="5" t="s">
        <v>2573</v>
      </c>
      <c r="Q143" s="6"/>
      <c r="R143" s="6"/>
      <c r="S143" s="52" t="s">
        <v>2488</v>
      </c>
    </row>
    <row r="144" spans="1:19" x14ac:dyDescent="0.35">
      <c r="A144" s="5" t="s">
        <v>2987</v>
      </c>
      <c r="B144" s="5" t="s">
        <v>2988</v>
      </c>
      <c r="C144" s="5" t="s">
        <v>2989</v>
      </c>
      <c r="D144" s="5" t="s">
        <v>28</v>
      </c>
      <c r="E144" s="5" t="s">
        <v>19</v>
      </c>
      <c r="F144" s="5" t="s">
        <v>20</v>
      </c>
      <c r="G144" s="5" t="s">
        <v>20</v>
      </c>
      <c r="H144" s="5" t="s">
        <v>20</v>
      </c>
      <c r="I144" s="5" t="s">
        <v>84</v>
      </c>
      <c r="J144" s="5" t="s">
        <v>856</v>
      </c>
      <c r="K144" s="5" t="s">
        <v>45</v>
      </c>
      <c r="L144" s="7">
        <v>45747</v>
      </c>
      <c r="M144" s="7">
        <v>46262</v>
      </c>
      <c r="N144" s="10" t="s">
        <v>2493</v>
      </c>
      <c r="O144" s="5" t="s">
        <v>2494</v>
      </c>
      <c r="P144" s="5" t="s">
        <v>2538</v>
      </c>
      <c r="Q144" s="6"/>
      <c r="R144" s="6"/>
      <c r="S144" s="6" t="s">
        <v>2473</v>
      </c>
    </row>
    <row r="145" spans="1:19" x14ac:dyDescent="0.35">
      <c r="A145" s="5" t="s">
        <v>2990</v>
      </c>
      <c r="B145" s="5" t="s">
        <v>2991</v>
      </c>
      <c r="C145" s="5" t="s">
        <v>2992</v>
      </c>
      <c r="D145" s="5" t="s">
        <v>17</v>
      </c>
      <c r="E145" s="5" t="s">
        <v>19</v>
      </c>
      <c r="F145" s="5" t="s">
        <v>241</v>
      </c>
      <c r="G145" s="5" t="s">
        <v>242</v>
      </c>
      <c r="H145" s="5" t="s">
        <v>242</v>
      </c>
      <c r="I145" s="5" t="s">
        <v>138</v>
      </c>
      <c r="J145" s="5" t="s">
        <v>2993</v>
      </c>
      <c r="K145" s="5" t="s">
        <v>426</v>
      </c>
      <c r="L145" s="7">
        <v>45744</v>
      </c>
      <c r="M145" s="7">
        <v>46142</v>
      </c>
      <c r="N145" s="10" t="s">
        <v>683</v>
      </c>
      <c r="O145" s="5" t="s">
        <v>2486</v>
      </c>
      <c r="P145" s="5" t="s">
        <v>2547</v>
      </c>
      <c r="Q145" s="6"/>
      <c r="R145" s="6"/>
      <c r="S145" s="52" t="s">
        <v>2488</v>
      </c>
    </row>
    <row r="146" spans="1:19" x14ac:dyDescent="0.35">
      <c r="A146" s="5" t="s">
        <v>928</v>
      </c>
      <c r="B146" s="5" t="s">
        <v>927</v>
      </c>
      <c r="C146" s="5" t="s">
        <v>2994</v>
      </c>
      <c r="D146" s="5" t="s">
        <v>17</v>
      </c>
      <c r="E146" s="5" t="s">
        <v>19</v>
      </c>
      <c r="F146" s="5" t="s">
        <v>29</v>
      </c>
      <c r="G146" s="5" t="s">
        <v>395</v>
      </c>
      <c r="H146" s="5" t="s">
        <v>395</v>
      </c>
      <c r="I146" s="5"/>
      <c r="J146" s="5" t="s">
        <v>2995</v>
      </c>
      <c r="K146" s="5" t="s">
        <v>188</v>
      </c>
      <c r="L146" s="7">
        <v>45750</v>
      </c>
      <c r="M146" s="7">
        <v>46203</v>
      </c>
      <c r="N146" s="10" t="s">
        <v>683</v>
      </c>
      <c r="O146" s="5" t="s">
        <v>2494</v>
      </c>
      <c r="P146" s="5" t="s">
        <v>2996</v>
      </c>
      <c r="Q146" s="6" t="s">
        <v>620</v>
      </c>
      <c r="R146" s="6" t="s">
        <v>18</v>
      </c>
      <c r="S146" s="6" t="s">
        <v>2475</v>
      </c>
    </row>
    <row r="147" spans="1:19" x14ac:dyDescent="0.35">
      <c r="A147" s="5" t="s">
        <v>2997</v>
      </c>
      <c r="B147" s="5" t="s">
        <v>2998</v>
      </c>
      <c r="C147" s="5" t="s">
        <v>2999</v>
      </c>
      <c r="D147" s="5" t="s">
        <v>17</v>
      </c>
      <c r="E147" s="5" t="s">
        <v>19</v>
      </c>
      <c r="F147" s="5" t="s">
        <v>50</v>
      </c>
      <c r="G147" s="53" t="s">
        <v>2476</v>
      </c>
      <c r="H147" s="5" t="s">
        <v>3605</v>
      </c>
      <c r="I147" s="5"/>
      <c r="J147" s="5" t="s">
        <v>370</v>
      </c>
      <c r="K147" s="5" t="s">
        <v>274</v>
      </c>
      <c r="L147" s="7">
        <v>45754</v>
      </c>
      <c r="M147" s="7">
        <v>46091</v>
      </c>
      <c r="N147" s="10" t="s">
        <v>2485</v>
      </c>
      <c r="O147" s="5" t="s">
        <v>2486</v>
      </c>
      <c r="P147" s="5" t="s">
        <v>2547</v>
      </c>
      <c r="Q147" s="6"/>
      <c r="R147" s="6"/>
      <c r="S147" s="6" t="s">
        <v>2473</v>
      </c>
    </row>
    <row r="148" spans="1:19" x14ac:dyDescent="0.35">
      <c r="A148" s="5" t="s">
        <v>3000</v>
      </c>
      <c r="B148" s="5" t="s">
        <v>3001</v>
      </c>
      <c r="C148" s="5" t="s">
        <v>3002</v>
      </c>
      <c r="D148" s="5" t="s">
        <v>17</v>
      </c>
      <c r="E148" s="5" t="s">
        <v>19</v>
      </c>
      <c r="F148" s="5" t="s">
        <v>50</v>
      </c>
      <c r="G148" s="53" t="s">
        <v>2476</v>
      </c>
      <c r="H148" s="5" t="s">
        <v>3605</v>
      </c>
      <c r="I148" s="5"/>
      <c r="J148" s="5" t="s">
        <v>230</v>
      </c>
      <c r="K148" s="5" t="s">
        <v>65</v>
      </c>
      <c r="L148" s="7">
        <v>45761</v>
      </c>
      <c r="M148" s="7">
        <v>46234</v>
      </c>
      <c r="N148" s="10" t="s">
        <v>2493</v>
      </c>
      <c r="O148" s="5" t="s">
        <v>2494</v>
      </c>
      <c r="P148" s="5" t="s">
        <v>2495</v>
      </c>
      <c r="Q148" s="6"/>
      <c r="R148" s="6"/>
      <c r="S148" s="6" t="s">
        <v>2473</v>
      </c>
    </row>
    <row r="149" spans="1:19" x14ac:dyDescent="0.35">
      <c r="A149" s="5" t="s">
        <v>3003</v>
      </c>
      <c r="B149" s="5" t="s">
        <v>3004</v>
      </c>
      <c r="C149" s="5" t="s">
        <v>3005</v>
      </c>
      <c r="D149" s="5" t="s">
        <v>28</v>
      </c>
      <c r="E149" s="5" t="s">
        <v>156</v>
      </c>
      <c r="F149" s="5" t="s">
        <v>241</v>
      </c>
      <c r="G149" s="5" t="s">
        <v>242</v>
      </c>
      <c r="H149" s="5" t="s">
        <v>242</v>
      </c>
      <c r="I149" s="5" t="s">
        <v>76</v>
      </c>
      <c r="J149" s="5" t="s">
        <v>2271</v>
      </c>
      <c r="K149" s="5" t="s">
        <v>470</v>
      </c>
      <c r="L149" s="7">
        <v>45761</v>
      </c>
      <c r="M149" s="7">
        <v>46052</v>
      </c>
      <c r="N149" s="10" t="s">
        <v>2485</v>
      </c>
      <c r="O149" s="5" t="s">
        <v>2486</v>
      </c>
      <c r="P149" s="5" t="s">
        <v>2581</v>
      </c>
      <c r="Q149" s="6"/>
      <c r="R149" s="6"/>
      <c r="S149" s="52" t="s">
        <v>2582</v>
      </c>
    </row>
    <row r="150" spans="1:19" x14ac:dyDescent="0.35">
      <c r="A150" s="5" t="s">
        <v>3006</v>
      </c>
      <c r="B150" s="5" t="s">
        <v>3007</v>
      </c>
      <c r="C150" s="5" t="s">
        <v>3008</v>
      </c>
      <c r="D150" s="5" t="s">
        <v>17</v>
      </c>
      <c r="E150" s="5" t="s">
        <v>19</v>
      </c>
      <c r="F150" s="5" t="s">
        <v>241</v>
      </c>
      <c r="G150" s="5" t="s">
        <v>242</v>
      </c>
      <c r="H150" s="5" t="s">
        <v>242</v>
      </c>
      <c r="I150" s="5" t="s">
        <v>138</v>
      </c>
      <c r="J150" s="5" t="s">
        <v>2974</v>
      </c>
      <c r="K150" s="5" t="s">
        <v>426</v>
      </c>
      <c r="L150" s="7">
        <v>45768</v>
      </c>
      <c r="M150" s="7">
        <v>46078</v>
      </c>
      <c r="N150" s="10" t="s">
        <v>2485</v>
      </c>
      <c r="O150" s="5" t="s">
        <v>2486</v>
      </c>
      <c r="P150" s="5" t="s">
        <v>2581</v>
      </c>
      <c r="Q150" s="6"/>
      <c r="R150" s="6"/>
      <c r="S150" s="52" t="s">
        <v>2582</v>
      </c>
    </row>
    <row r="151" spans="1:19" x14ac:dyDescent="0.35">
      <c r="A151" s="5" t="s">
        <v>3009</v>
      </c>
      <c r="B151" s="5" t="s">
        <v>3010</v>
      </c>
      <c r="C151" s="5" t="s">
        <v>3011</v>
      </c>
      <c r="D151" s="5" t="s">
        <v>17</v>
      </c>
      <c r="E151" s="5" t="s">
        <v>19</v>
      </c>
      <c r="F151" s="5" t="s">
        <v>20</v>
      </c>
      <c r="G151" s="5" t="s">
        <v>20</v>
      </c>
      <c r="H151" s="5" t="s">
        <v>20</v>
      </c>
      <c r="I151" s="5" t="s">
        <v>343</v>
      </c>
      <c r="J151" s="5" t="s">
        <v>3012</v>
      </c>
      <c r="K151" s="5" t="s">
        <v>341</v>
      </c>
      <c r="L151" s="7">
        <v>45775</v>
      </c>
      <c r="M151" s="7">
        <v>46203</v>
      </c>
      <c r="N151" s="10" t="s">
        <v>683</v>
      </c>
      <c r="O151" s="5" t="s">
        <v>2494</v>
      </c>
      <c r="P151" s="5" t="s">
        <v>2499</v>
      </c>
      <c r="Q151" s="6"/>
      <c r="R151" s="6"/>
      <c r="S151" s="6" t="s">
        <v>2473</v>
      </c>
    </row>
    <row r="152" spans="1:19" x14ac:dyDescent="0.35">
      <c r="A152" s="5" t="s">
        <v>3013</v>
      </c>
      <c r="B152" s="5" t="s">
        <v>3014</v>
      </c>
      <c r="C152" s="5" t="s">
        <v>3015</v>
      </c>
      <c r="D152" s="5" t="s">
        <v>17</v>
      </c>
      <c r="E152" s="5" t="s">
        <v>19</v>
      </c>
      <c r="F152" s="5" t="s">
        <v>241</v>
      </c>
      <c r="G152" s="5" t="s">
        <v>242</v>
      </c>
      <c r="H152" s="5" t="s">
        <v>242</v>
      </c>
      <c r="I152" s="5" t="s">
        <v>138</v>
      </c>
      <c r="J152" s="5" t="s">
        <v>3016</v>
      </c>
      <c r="K152" s="5" t="s">
        <v>426</v>
      </c>
      <c r="L152" s="7">
        <v>45772</v>
      </c>
      <c r="M152" s="7">
        <v>46295</v>
      </c>
      <c r="N152" s="10" t="s">
        <v>2493</v>
      </c>
      <c r="O152" s="5" t="s">
        <v>2486</v>
      </c>
      <c r="P152" s="5" t="s">
        <v>2581</v>
      </c>
      <c r="Q152" s="6"/>
      <c r="R152" s="6"/>
      <c r="S152" s="52" t="s">
        <v>2582</v>
      </c>
    </row>
    <row r="153" spans="1:19" x14ac:dyDescent="0.35">
      <c r="A153" s="5" t="s">
        <v>3017</v>
      </c>
      <c r="B153" s="5" t="s">
        <v>3018</v>
      </c>
      <c r="C153" s="5" t="s">
        <v>3019</v>
      </c>
      <c r="D153" s="5" t="s">
        <v>17</v>
      </c>
      <c r="E153" s="5" t="s">
        <v>19</v>
      </c>
      <c r="F153" s="5" t="s">
        <v>241</v>
      </c>
      <c r="G153" s="5" t="s">
        <v>242</v>
      </c>
      <c r="H153" s="5" t="s">
        <v>242</v>
      </c>
      <c r="I153" s="5" t="s">
        <v>138</v>
      </c>
      <c r="J153" s="5" t="s">
        <v>3020</v>
      </c>
      <c r="K153" s="5" t="s">
        <v>426</v>
      </c>
      <c r="L153" s="7">
        <v>45777</v>
      </c>
      <c r="M153" s="7">
        <v>46295</v>
      </c>
      <c r="N153" s="10" t="s">
        <v>2493</v>
      </c>
      <c r="O153" s="5" t="s">
        <v>2486</v>
      </c>
      <c r="P153" s="5" t="s">
        <v>2581</v>
      </c>
      <c r="Q153" s="6"/>
      <c r="R153" s="6"/>
      <c r="S153" s="52" t="s">
        <v>2582</v>
      </c>
    </row>
    <row r="154" spans="1:19" x14ac:dyDescent="0.35">
      <c r="A154" s="5" t="s">
        <v>3021</v>
      </c>
      <c r="B154" s="5" t="s">
        <v>3022</v>
      </c>
      <c r="C154" s="5" t="s">
        <v>3023</v>
      </c>
      <c r="D154" s="5" t="s">
        <v>17</v>
      </c>
      <c r="E154" s="5" t="s">
        <v>19</v>
      </c>
      <c r="F154" s="5" t="s">
        <v>29</v>
      </c>
      <c r="G154" s="5" t="s">
        <v>395</v>
      </c>
      <c r="H154" s="5" t="s">
        <v>395</v>
      </c>
      <c r="I154" s="5"/>
      <c r="J154" s="5" t="s">
        <v>187</v>
      </c>
      <c r="K154" s="5" t="s">
        <v>188</v>
      </c>
      <c r="L154" s="7">
        <v>45779</v>
      </c>
      <c r="M154" s="7">
        <v>46064</v>
      </c>
      <c r="N154" s="10" t="s">
        <v>2485</v>
      </c>
      <c r="O154" s="5" t="s">
        <v>2486</v>
      </c>
      <c r="P154" s="5" t="s">
        <v>2514</v>
      </c>
      <c r="Q154" s="6" t="s">
        <v>76</v>
      </c>
      <c r="R154" s="6" t="s">
        <v>18</v>
      </c>
      <c r="S154" s="6" t="s">
        <v>2515</v>
      </c>
    </row>
    <row r="155" spans="1:19" x14ac:dyDescent="0.35">
      <c r="A155" s="5" t="s">
        <v>3024</v>
      </c>
      <c r="B155" s="5" t="s">
        <v>3025</v>
      </c>
      <c r="C155" s="5" t="s">
        <v>3026</v>
      </c>
      <c r="D155" s="5" t="s">
        <v>17</v>
      </c>
      <c r="E155" s="5" t="s">
        <v>19</v>
      </c>
      <c r="F155" s="5" t="s">
        <v>29</v>
      </c>
      <c r="G155" s="5" t="s">
        <v>395</v>
      </c>
      <c r="H155" s="5" t="s">
        <v>395</v>
      </c>
      <c r="I155" s="5"/>
      <c r="J155" s="5" t="s">
        <v>3027</v>
      </c>
      <c r="K155" s="5" t="s">
        <v>927</v>
      </c>
      <c r="L155" s="7">
        <v>45779</v>
      </c>
      <c r="M155" s="7">
        <v>46122</v>
      </c>
      <c r="N155" s="10" t="s">
        <v>683</v>
      </c>
      <c r="O155" s="5" t="s">
        <v>2494</v>
      </c>
      <c r="P155" s="5" t="s">
        <v>2514</v>
      </c>
      <c r="Q155" s="6" t="s">
        <v>620</v>
      </c>
      <c r="R155" s="6" t="s">
        <v>18</v>
      </c>
      <c r="S155" s="6" t="s">
        <v>2515</v>
      </c>
    </row>
    <row r="156" spans="1:19" x14ac:dyDescent="0.35">
      <c r="A156" s="5" t="s">
        <v>3028</v>
      </c>
      <c r="B156" s="5" t="s">
        <v>3029</v>
      </c>
      <c r="C156" s="5" t="s">
        <v>3030</v>
      </c>
      <c r="D156" s="5" t="s">
        <v>17</v>
      </c>
      <c r="E156" s="5" t="s">
        <v>19</v>
      </c>
      <c r="F156" s="5" t="s">
        <v>29</v>
      </c>
      <c r="G156" s="5" t="s">
        <v>395</v>
      </c>
      <c r="H156" s="5" t="s">
        <v>395</v>
      </c>
      <c r="I156" s="5"/>
      <c r="J156" s="5" t="s">
        <v>506</v>
      </c>
      <c r="K156" s="5" t="s">
        <v>927</v>
      </c>
      <c r="L156" s="7">
        <v>45826</v>
      </c>
      <c r="M156" s="7">
        <v>46146</v>
      </c>
      <c r="N156" s="10" t="s">
        <v>683</v>
      </c>
      <c r="O156" s="5" t="s">
        <v>2486</v>
      </c>
      <c r="P156" s="5" t="s">
        <v>2514</v>
      </c>
      <c r="Q156" s="6" t="s">
        <v>620</v>
      </c>
      <c r="R156" s="6" t="s">
        <v>18</v>
      </c>
      <c r="S156" s="6" t="s">
        <v>2515</v>
      </c>
    </row>
    <row r="157" spans="1:19" x14ac:dyDescent="0.35">
      <c r="A157" s="5" t="s">
        <v>3031</v>
      </c>
      <c r="B157" s="5" t="s">
        <v>3032</v>
      </c>
      <c r="C157" s="5" t="s">
        <v>3033</v>
      </c>
      <c r="D157" s="5" t="s">
        <v>28</v>
      </c>
      <c r="E157" s="5" t="s">
        <v>19</v>
      </c>
      <c r="F157" s="5" t="s">
        <v>241</v>
      </c>
      <c r="G157" s="5" t="s">
        <v>242</v>
      </c>
      <c r="H157" s="5" t="s">
        <v>242</v>
      </c>
      <c r="I157" s="5" t="s">
        <v>39</v>
      </c>
      <c r="J157" s="5" t="s">
        <v>2961</v>
      </c>
      <c r="K157" s="5" t="s">
        <v>470</v>
      </c>
      <c r="L157" s="7">
        <v>45783</v>
      </c>
      <c r="M157" s="7">
        <v>46059</v>
      </c>
      <c r="N157" s="10" t="s">
        <v>2485</v>
      </c>
      <c r="O157" s="5" t="s">
        <v>2486</v>
      </c>
      <c r="P157" s="5" t="s">
        <v>2581</v>
      </c>
      <c r="Q157" s="6"/>
      <c r="R157" s="6"/>
      <c r="S157" s="52" t="s">
        <v>2582</v>
      </c>
    </row>
    <row r="158" spans="1:19" x14ac:dyDescent="0.35">
      <c r="A158" s="5" t="s">
        <v>3034</v>
      </c>
      <c r="B158" s="5" t="s">
        <v>3035</v>
      </c>
      <c r="C158" s="5" t="s">
        <v>3036</v>
      </c>
      <c r="D158" s="5" t="s">
        <v>17</v>
      </c>
      <c r="E158" s="5" t="s">
        <v>19</v>
      </c>
      <c r="F158" s="5" t="s">
        <v>241</v>
      </c>
      <c r="G158" s="5" t="s">
        <v>242</v>
      </c>
      <c r="H158" s="5" t="s">
        <v>242</v>
      </c>
      <c r="I158" s="5" t="s">
        <v>138</v>
      </c>
      <c r="J158" s="5" t="s">
        <v>3037</v>
      </c>
      <c r="K158" s="5" t="s">
        <v>426</v>
      </c>
      <c r="L158" s="7">
        <v>45784</v>
      </c>
      <c r="M158" s="7">
        <v>46112</v>
      </c>
      <c r="N158" s="10" t="s">
        <v>2485</v>
      </c>
      <c r="O158" s="5" t="s">
        <v>2486</v>
      </c>
      <c r="P158" s="5" t="s">
        <v>2581</v>
      </c>
      <c r="Q158" s="6"/>
      <c r="R158" s="6"/>
      <c r="S158" s="52" t="s">
        <v>2582</v>
      </c>
    </row>
    <row r="159" spans="1:19" x14ac:dyDescent="0.35">
      <c r="A159" s="5" t="s">
        <v>3038</v>
      </c>
      <c r="B159" s="5" t="s">
        <v>3039</v>
      </c>
      <c r="C159" s="5" t="s">
        <v>3040</v>
      </c>
      <c r="D159" s="5" t="s">
        <v>17</v>
      </c>
      <c r="E159" s="5" t="s">
        <v>130</v>
      </c>
      <c r="F159" s="5" t="s">
        <v>241</v>
      </c>
      <c r="G159" s="5" t="s">
        <v>242</v>
      </c>
      <c r="H159" s="5" t="s">
        <v>242</v>
      </c>
      <c r="I159" s="5" t="s">
        <v>138</v>
      </c>
      <c r="J159" s="5" t="s">
        <v>1391</v>
      </c>
      <c r="K159" s="5" t="s">
        <v>244</v>
      </c>
      <c r="L159" s="7">
        <v>45789</v>
      </c>
      <c r="M159" s="7">
        <v>46234</v>
      </c>
      <c r="N159" s="10" t="s">
        <v>2493</v>
      </c>
      <c r="O159" s="5" t="s">
        <v>2486</v>
      </c>
      <c r="P159" s="5" t="s">
        <v>2581</v>
      </c>
      <c r="Q159" s="6"/>
      <c r="R159" s="6"/>
      <c r="S159" s="52" t="s">
        <v>2582</v>
      </c>
    </row>
    <row r="160" spans="1:19" x14ac:dyDescent="0.35">
      <c r="A160" s="5" t="s">
        <v>3041</v>
      </c>
      <c r="B160" s="5" t="s">
        <v>3042</v>
      </c>
      <c r="C160" s="5" t="s">
        <v>3043</v>
      </c>
      <c r="D160" s="5" t="s">
        <v>17</v>
      </c>
      <c r="E160" s="5" t="s">
        <v>130</v>
      </c>
      <c r="F160" s="5" t="s">
        <v>241</v>
      </c>
      <c r="G160" s="5" t="s">
        <v>242</v>
      </c>
      <c r="H160" s="5" t="s">
        <v>242</v>
      </c>
      <c r="I160" s="5" t="s">
        <v>138</v>
      </c>
      <c r="J160" s="5" t="s">
        <v>3044</v>
      </c>
      <c r="K160" s="5" t="s">
        <v>426</v>
      </c>
      <c r="L160" s="7">
        <v>45790</v>
      </c>
      <c r="M160" s="7">
        <v>46203</v>
      </c>
      <c r="N160" s="10" t="s">
        <v>683</v>
      </c>
      <c r="O160" s="5" t="s">
        <v>2486</v>
      </c>
      <c r="P160" s="5" t="s">
        <v>2581</v>
      </c>
      <c r="Q160" s="6"/>
      <c r="R160" s="6"/>
      <c r="S160" s="52" t="s">
        <v>2582</v>
      </c>
    </row>
    <row r="161" spans="1:19" x14ac:dyDescent="0.35">
      <c r="A161" s="5" t="s">
        <v>3045</v>
      </c>
      <c r="B161" s="5" t="s">
        <v>3046</v>
      </c>
      <c r="C161" s="5" t="s">
        <v>3047</v>
      </c>
      <c r="D161" s="5" t="s">
        <v>28</v>
      </c>
      <c r="E161" s="5" t="s">
        <v>19</v>
      </c>
      <c r="F161" s="5" t="s">
        <v>50</v>
      </c>
      <c r="G161" s="53" t="s">
        <v>2476</v>
      </c>
      <c r="H161" s="5" t="s">
        <v>3605</v>
      </c>
      <c r="I161" s="5"/>
      <c r="J161" s="5" t="s">
        <v>230</v>
      </c>
      <c r="K161" s="5" t="s">
        <v>65</v>
      </c>
      <c r="L161" s="7">
        <v>45796</v>
      </c>
      <c r="M161" s="7">
        <v>46101</v>
      </c>
      <c r="N161" s="10" t="s">
        <v>2485</v>
      </c>
      <c r="O161" s="5" t="s">
        <v>2494</v>
      </c>
      <c r="P161" s="5" t="s">
        <v>2499</v>
      </c>
      <c r="Q161" s="6"/>
      <c r="R161" s="6"/>
      <c r="S161" s="6" t="s">
        <v>2473</v>
      </c>
    </row>
    <row r="162" spans="1:19" x14ac:dyDescent="0.35">
      <c r="A162" s="5" t="s">
        <v>3048</v>
      </c>
      <c r="B162" s="5" t="s">
        <v>3049</v>
      </c>
      <c r="C162" s="5" t="s">
        <v>3050</v>
      </c>
      <c r="D162" s="5" t="s">
        <v>28</v>
      </c>
      <c r="E162" s="5" t="s">
        <v>130</v>
      </c>
      <c r="F162" s="5" t="s">
        <v>241</v>
      </c>
      <c r="G162" s="5" t="s">
        <v>242</v>
      </c>
      <c r="H162" s="5" t="s">
        <v>242</v>
      </c>
      <c r="I162" s="5" t="s">
        <v>138</v>
      </c>
      <c r="J162" s="5" t="s">
        <v>1391</v>
      </c>
      <c r="K162" s="5" t="s">
        <v>426</v>
      </c>
      <c r="L162" s="7">
        <v>45799</v>
      </c>
      <c r="M162" s="7">
        <v>46231</v>
      </c>
      <c r="N162" s="10" t="s">
        <v>2493</v>
      </c>
      <c r="O162" s="5" t="s">
        <v>2486</v>
      </c>
      <c r="P162" s="5" t="s">
        <v>2581</v>
      </c>
      <c r="Q162" s="6"/>
      <c r="R162" s="6"/>
      <c r="S162" s="52" t="s">
        <v>2582</v>
      </c>
    </row>
    <row r="163" spans="1:19" x14ac:dyDescent="0.35">
      <c r="A163" s="5" t="s">
        <v>3051</v>
      </c>
      <c r="B163" s="5" t="s">
        <v>3052</v>
      </c>
      <c r="C163" s="5" t="s">
        <v>3053</v>
      </c>
      <c r="D163" s="5" t="s">
        <v>17</v>
      </c>
      <c r="E163" s="5" t="s">
        <v>74</v>
      </c>
      <c r="F163" s="5" t="s">
        <v>241</v>
      </c>
      <c r="G163" s="5" t="s">
        <v>242</v>
      </c>
      <c r="H163" s="5" t="s">
        <v>242</v>
      </c>
      <c r="I163" s="5" t="s">
        <v>282</v>
      </c>
      <c r="J163" s="5" t="s">
        <v>1915</v>
      </c>
      <c r="K163" s="5" t="s">
        <v>426</v>
      </c>
      <c r="L163" s="7">
        <v>45803</v>
      </c>
      <c r="M163" s="7">
        <v>46042</v>
      </c>
      <c r="N163" s="10" t="s">
        <v>2485</v>
      </c>
      <c r="O163" s="5" t="s">
        <v>2486</v>
      </c>
      <c r="P163" s="5" t="s">
        <v>2581</v>
      </c>
      <c r="Q163" s="6"/>
      <c r="R163" s="6"/>
      <c r="S163" s="52" t="s">
        <v>2582</v>
      </c>
    </row>
    <row r="164" spans="1:19" x14ac:dyDescent="0.35">
      <c r="A164" s="5" t="s">
        <v>3054</v>
      </c>
      <c r="B164" s="5" t="s">
        <v>3055</v>
      </c>
      <c r="C164" s="5" t="s">
        <v>3056</v>
      </c>
      <c r="D164" s="5" t="s">
        <v>28</v>
      </c>
      <c r="E164" s="5" t="s">
        <v>74</v>
      </c>
      <c r="F164" s="5" t="s">
        <v>241</v>
      </c>
      <c r="G164" s="5" t="s">
        <v>242</v>
      </c>
      <c r="H164" s="5" t="s">
        <v>242</v>
      </c>
      <c r="I164" s="5" t="s">
        <v>282</v>
      </c>
      <c r="J164" s="5" t="s">
        <v>1915</v>
      </c>
      <c r="K164" s="5" t="s">
        <v>426</v>
      </c>
      <c r="L164" s="7">
        <v>45803</v>
      </c>
      <c r="M164" s="7">
        <v>46042</v>
      </c>
      <c r="N164" s="10" t="s">
        <v>2485</v>
      </c>
      <c r="O164" s="5" t="s">
        <v>2486</v>
      </c>
      <c r="P164" s="5" t="s">
        <v>2581</v>
      </c>
      <c r="Q164" s="6"/>
      <c r="R164" s="6"/>
      <c r="S164" s="52" t="s">
        <v>2582</v>
      </c>
    </row>
    <row r="165" spans="1:19" x14ac:dyDescent="0.35">
      <c r="A165" s="5" t="s">
        <v>3057</v>
      </c>
      <c r="B165" s="5" t="s">
        <v>3058</v>
      </c>
      <c r="C165" s="5" t="s">
        <v>3059</v>
      </c>
      <c r="D165" s="5" t="s">
        <v>17</v>
      </c>
      <c r="E165" s="5" t="s">
        <v>130</v>
      </c>
      <c r="F165" s="5" t="s">
        <v>241</v>
      </c>
      <c r="G165" s="5" t="s">
        <v>242</v>
      </c>
      <c r="H165" s="5" t="s">
        <v>242</v>
      </c>
      <c r="I165" s="5" t="s">
        <v>39</v>
      </c>
      <c r="J165" s="5" t="s">
        <v>892</v>
      </c>
      <c r="K165" s="5" t="s">
        <v>470</v>
      </c>
      <c r="L165" s="7">
        <v>45819</v>
      </c>
      <c r="M165" s="7">
        <v>46283</v>
      </c>
      <c r="N165" s="10" t="s">
        <v>2493</v>
      </c>
      <c r="O165" s="5" t="s">
        <v>2486</v>
      </c>
      <c r="P165" s="5" t="s">
        <v>2845</v>
      </c>
      <c r="Q165" s="6"/>
      <c r="R165" s="6"/>
      <c r="S165" s="6" t="s">
        <v>2515</v>
      </c>
    </row>
    <row r="166" spans="1:19" x14ac:dyDescent="0.35">
      <c r="A166" s="5" t="s">
        <v>3060</v>
      </c>
      <c r="B166" s="5" t="s">
        <v>3061</v>
      </c>
      <c r="C166" s="5" t="s">
        <v>3062</v>
      </c>
      <c r="D166" s="5" t="s">
        <v>28</v>
      </c>
      <c r="E166" s="5" t="s">
        <v>19</v>
      </c>
      <c r="F166" s="5" t="s">
        <v>29</v>
      </c>
      <c r="G166" s="5" t="s">
        <v>395</v>
      </c>
      <c r="H166" s="5" t="s">
        <v>395</v>
      </c>
      <c r="I166" s="5"/>
      <c r="J166" s="5" t="s">
        <v>243</v>
      </c>
      <c r="K166" s="5" t="s">
        <v>927</v>
      </c>
      <c r="L166" s="7">
        <v>45811</v>
      </c>
      <c r="M166" s="7">
        <v>46262</v>
      </c>
      <c r="N166" s="10" t="s">
        <v>2493</v>
      </c>
      <c r="O166" s="5" t="s">
        <v>2486</v>
      </c>
      <c r="P166" s="5" t="s">
        <v>2514</v>
      </c>
      <c r="Q166" s="6" t="s">
        <v>620</v>
      </c>
      <c r="R166" s="6" t="s">
        <v>18</v>
      </c>
      <c r="S166" s="6" t="s">
        <v>2515</v>
      </c>
    </row>
    <row r="167" spans="1:19" x14ac:dyDescent="0.35">
      <c r="A167" s="5" t="s">
        <v>3063</v>
      </c>
      <c r="B167" s="5" t="s">
        <v>3064</v>
      </c>
      <c r="C167" s="5" t="s">
        <v>3065</v>
      </c>
      <c r="D167" s="5" t="s">
        <v>28</v>
      </c>
      <c r="E167" s="5" t="s">
        <v>19</v>
      </c>
      <c r="F167" s="5" t="s">
        <v>241</v>
      </c>
      <c r="G167" s="5" t="s">
        <v>242</v>
      </c>
      <c r="H167" s="5" t="s">
        <v>242</v>
      </c>
      <c r="I167" s="5" t="s">
        <v>659</v>
      </c>
      <c r="J167" s="5" t="s">
        <v>3066</v>
      </c>
      <c r="K167" s="5" t="s">
        <v>470</v>
      </c>
      <c r="L167" s="7">
        <v>45812</v>
      </c>
      <c r="M167" s="7">
        <v>46141</v>
      </c>
      <c r="N167" s="10" t="s">
        <v>683</v>
      </c>
      <c r="O167" s="5" t="s">
        <v>2494</v>
      </c>
      <c r="P167" s="5" t="s">
        <v>2573</v>
      </c>
      <c r="Q167" s="6"/>
      <c r="R167" s="6"/>
      <c r="S167" s="52" t="s">
        <v>2488</v>
      </c>
    </row>
    <row r="168" spans="1:19" x14ac:dyDescent="0.35">
      <c r="A168" s="5" t="s">
        <v>3067</v>
      </c>
      <c r="B168" s="5" t="s">
        <v>3068</v>
      </c>
      <c r="C168" s="5" t="s">
        <v>3069</v>
      </c>
      <c r="D168" s="5" t="s">
        <v>17</v>
      </c>
      <c r="E168" s="5" t="s">
        <v>626</v>
      </c>
      <c r="F168" s="5" t="s">
        <v>241</v>
      </c>
      <c r="G168" s="5" t="s">
        <v>242</v>
      </c>
      <c r="H168" s="5" t="s">
        <v>242</v>
      </c>
      <c r="I168" s="5" t="s">
        <v>468</v>
      </c>
      <c r="J168" s="5" t="s">
        <v>187</v>
      </c>
      <c r="K168" s="5" t="s">
        <v>470</v>
      </c>
      <c r="L168" s="7">
        <v>45812</v>
      </c>
      <c r="M168" s="7">
        <v>46190</v>
      </c>
      <c r="N168" s="10" t="s">
        <v>683</v>
      </c>
      <c r="O168" s="5" t="s">
        <v>2486</v>
      </c>
      <c r="P168" s="5" t="s">
        <v>2693</v>
      </c>
      <c r="Q168" s="6"/>
      <c r="R168" s="6"/>
      <c r="S168" s="6" t="s">
        <v>2515</v>
      </c>
    </row>
    <row r="169" spans="1:19" x14ac:dyDescent="0.35">
      <c r="A169" s="5" t="s">
        <v>3070</v>
      </c>
      <c r="B169" s="5" t="s">
        <v>3071</v>
      </c>
      <c r="C169" s="5" t="s">
        <v>3072</v>
      </c>
      <c r="D169" s="5" t="s">
        <v>17</v>
      </c>
      <c r="E169" s="5" t="s">
        <v>19</v>
      </c>
      <c r="F169" s="5" t="s">
        <v>20</v>
      </c>
      <c r="G169" s="5" t="s">
        <v>20</v>
      </c>
      <c r="H169" s="5" t="s">
        <v>20</v>
      </c>
      <c r="I169" s="5" t="s">
        <v>165</v>
      </c>
      <c r="J169" s="5" t="s">
        <v>216</v>
      </c>
      <c r="K169" s="5" t="s">
        <v>163</v>
      </c>
      <c r="L169" s="7">
        <v>45817</v>
      </c>
      <c r="M169" s="7">
        <v>46295</v>
      </c>
      <c r="N169" s="10" t="s">
        <v>2493</v>
      </c>
      <c r="O169" s="5" t="s">
        <v>2494</v>
      </c>
      <c r="P169" s="5" t="s">
        <v>2538</v>
      </c>
      <c r="Q169" s="6"/>
      <c r="R169" s="6"/>
      <c r="S169" s="6" t="s">
        <v>2473</v>
      </c>
    </row>
    <row r="170" spans="1:19" x14ac:dyDescent="0.35">
      <c r="A170" s="5" t="s">
        <v>3073</v>
      </c>
      <c r="B170" s="5" t="s">
        <v>3074</v>
      </c>
      <c r="C170" s="5" t="s">
        <v>3075</v>
      </c>
      <c r="D170" s="5" t="s">
        <v>17</v>
      </c>
      <c r="E170" s="5" t="s">
        <v>74</v>
      </c>
      <c r="F170" s="5" t="s">
        <v>241</v>
      </c>
      <c r="G170" s="5" t="s">
        <v>242</v>
      </c>
      <c r="H170" s="5" t="s">
        <v>242</v>
      </c>
      <c r="I170" s="5" t="s">
        <v>138</v>
      </c>
      <c r="J170" s="5" t="s">
        <v>190</v>
      </c>
      <c r="K170" s="5" t="s">
        <v>426</v>
      </c>
      <c r="L170" s="7">
        <v>45817</v>
      </c>
      <c r="M170" s="7">
        <v>46203</v>
      </c>
      <c r="N170" s="10" t="s">
        <v>683</v>
      </c>
      <c r="O170" s="5" t="s">
        <v>2486</v>
      </c>
      <c r="P170" s="5" t="s">
        <v>2845</v>
      </c>
      <c r="Q170" s="6"/>
      <c r="R170" s="6"/>
      <c r="S170" s="6" t="s">
        <v>2515</v>
      </c>
    </row>
    <row r="171" spans="1:19" x14ac:dyDescent="0.35">
      <c r="A171" s="5" t="s">
        <v>3076</v>
      </c>
      <c r="B171" s="5" t="s">
        <v>3077</v>
      </c>
      <c r="C171" s="5" t="s">
        <v>3078</v>
      </c>
      <c r="D171" s="5" t="s">
        <v>17</v>
      </c>
      <c r="E171" s="5" t="s">
        <v>19</v>
      </c>
      <c r="F171" s="5" t="s">
        <v>241</v>
      </c>
      <c r="G171" s="5" t="s">
        <v>242</v>
      </c>
      <c r="H171" s="5" t="s">
        <v>242</v>
      </c>
      <c r="I171" s="5" t="s">
        <v>138</v>
      </c>
      <c r="J171" s="5" t="s">
        <v>2723</v>
      </c>
      <c r="K171" s="5" t="s">
        <v>426</v>
      </c>
      <c r="L171" s="7">
        <v>45818</v>
      </c>
      <c r="M171" s="7">
        <v>46203</v>
      </c>
      <c r="N171" s="10" t="s">
        <v>683</v>
      </c>
      <c r="O171" s="5" t="s">
        <v>2486</v>
      </c>
      <c r="P171" s="5" t="s">
        <v>2845</v>
      </c>
      <c r="Q171" s="6"/>
      <c r="R171" s="6"/>
      <c r="S171" s="6" t="s">
        <v>2515</v>
      </c>
    </row>
    <row r="172" spans="1:19" x14ac:dyDescent="0.35">
      <c r="A172" s="5" t="s">
        <v>3079</v>
      </c>
      <c r="B172" s="5" t="s">
        <v>3080</v>
      </c>
      <c r="C172" s="5" t="s">
        <v>3081</v>
      </c>
      <c r="D172" s="5" t="s">
        <v>17</v>
      </c>
      <c r="E172" s="5" t="s">
        <v>19</v>
      </c>
      <c r="F172" s="5" t="s">
        <v>29</v>
      </c>
      <c r="G172" s="5" t="s">
        <v>395</v>
      </c>
      <c r="H172" s="5" t="s">
        <v>395</v>
      </c>
      <c r="I172" s="5"/>
      <c r="J172" s="5" t="s">
        <v>187</v>
      </c>
      <c r="K172" s="5" t="s">
        <v>188</v>
      </c>
      <c r="L172" s="7">
        <v>45819</v>
      </c>
      <c r="M172" s="7">
        <v>46064</v>
      </c>
      <c r="N172" s="10" t="s">
        <v>2485</v>
      </c>
      <c r="O172" s="5" t="s">
        <v>2486</v>
      </c>
      <c r="P172" s="5" t="s">
        <v>2514</v>
      </c>
      <c r="Q172" s="6" t="s">
        <v>76</v>
      </c>
      <c r="R172" s="6" t="s">
        <v>18</v>
      </c>
      <c r="S172" s="6" t="s">
        <v>2515</v>
      </c>
    </row>
    <row r="173" spans="1:19" x14ac:dyDescent="0.35">
      <c r="A173" s="5" t="s">
        <v>3082</v>
      </c>
      <c r="B173" s="5" t="s">
        <v>3083</v>
      </c>
      <c r="C173" s="5" t="s">
        <v>3084</v>
      </c>
      <c r="D173" s="5" t="s">
        <v>17</v>
      </c>
      <c r="E173" s="5" t="s">
        <v>74</v>
      </c>
      <c r="F173" s="5" t="s">
        <v>241</v>
      </c>
      <c r="G173" s="5" t="s">
        <v>242</v>
      </c>
      <c r="H173" s="5" t="s">
        <v>242</v>
      </c>
      <c r="I173" s="5" t="s">
        <v>138</v>
      </c>
      <c r="J173" s="5" t="s">
        <v>3085</v>
      </c>
      <c r="K173" s="5" t="s">
        <v>426</v>
      </c>
      <c r="L173" s="7">
        <v>45825</v>
      </c>
      <c r="M173" s="7">
        <v>46178</v>
      </c>
      <c r="N173" s="10" t="s">
        <v>683</v>
      </c>
      <c r="O173" s="5" t="s">
        <v>2486</v>
      </c>
      <c r="P173" s="5" t="s">
        <v>2581</v>
      </c>
      <c r="Q173" s="6"/>
      <c r="R173" s="6"/>
      <c r="S173" s="52" t="s">
        <v>2582</v>
      </c>
    </row>
    <row r="174" spans="1:19" x14ac:dyDescent="0.35">
      <c r="A174" s="5" t="s">
        <v>3086</v>
      </c>
      <c r="B174" s="5" t="s">
        <v>3087</v>
      </c>
      <c r="C174" s="5" t="s">
        <v>3088</v>
      </c>
      <c r="D174" s="5" t="s">
        <v>17</v>
      </c>
      <c r="E174" s="5" t="s">
        <v>19</v>
      </c>
      <c r="F174" s="5" t="s">
        <v>241</v>
      </c>
      <c r="G174" s="5" t="s">
        <v>242</v>
      </c>
      <c r="H174" s="5" t="s">
        <v>242</v>
      </c>
      <c r="I174" s="5" t="s">
        <v>138</v>
      </c>
      <c r="J174" s="5" t="s">
        <v>187</v>
      </c>
      <c r="K174" s="5" t="s">
        <v>426</v>
      </c>
      <c r="L174" s="7">
        <v>45827</v>
      </c>
      <c r="M174" s="7">
        <v>46112</v>
      </c>
      <c r="N174" s="10" t="s">
        <v>2485</v>
      </c>
      <c r="O174" s="5" t="s">
        <v>2486</v>
      </c>
      <c r="P174" s="5" t="s">
        <v>2581</v>
      </c>
      <c r="Q174" s="6"/>
      <c r="R174" s="6"/>
      <c r="S174" s="52" t="s">
        <v>2582</v>
      </c>
    </row>
    <row r="175" spans="1:19" x14ac:dyDescent="0.35">
      <c r="A175" s="5" t="s">
        <v>3089</v>
      </c>
      <c r="B175" s="5" t="s">
        <v>3090</v>
      </c>
      <c r="C175" s="5" t="s">
        <v>3091</v>
      </c>
      <c r="D175" s="5" t="s">
        <v>28</v>
      </c>
      <c r="E175" s="5" t="s">
        <v>156</v>
      </c>
      <c r="F175" s="5" t="s">
        <v>241</v>
      </c>
      <c r="G175" s="5" t="s">
        <v>242</v>
      </c>
      <c r="H175" s="5" t="s">
        <v>242</v>
      </c>
      <c r="I175" s="5" t="s">
        <v>39</v>
      </c>
      <c r="J175" s="5" t="s">
        <v>3092</v>
      </c>
      <c r="K175" s="5" t="s">
        <v>470</v>
      </c>
      <c r="L175" s="7">
        <v>45841</v>
      </c>
      <c r="M175" s="7">
        <v>46037</v>
      </c>
      <c r="N175" s="10" t="s">
        <v>2485</v>
      </c>
      <c r="O175" s="5" t="s">
        <v>2486</v>
      </c>
      <c r="P175" s="5" t="s">
        <v>2978</v>
      </c>
      <c r="Q175" s="6"/>
      <c r="R175" s="6"/>
      <c r="S175" s="6" t="s">
        <v>2515</v>
      </c>
    </row>
    <row r="176" spans="1:19" x14ac:dyDescent="0.35">
      <c r="A176" s="5" t="s">
        <v>3093</v>
      </c>
      <c r="B176" s="5" t="s">
        <v>3094</v>
      </c>
      <c r="C176" s="5" t="s">
        <v>3095</v>
      </c>
      <c r="D176" s="5" t="s">
        <v>28</v>
      </c>
      <c r="E176" s="5" t="s">
        <v>19</v>
      </c>
      <c r="F176" s="5" t="s">
        <v>241</v>
      </c>
      <c r="G176" s="5" t="s">
        <v>242</v>
      </c>
      <c r="H176" s="5" t="s">
        <v>242</v>
      </c>
      <c r="I176" s="5" t="s">
        <v>702</v>
      </c>
      <c r="J176" s="5" t="s">
        <v>3096</v>
      </c>
      <c r="K176" s="5" t="s">
        <v>470</v>
      </c>
      <c r="L176" s="7">
        <v>45827</v>
      </c>
      <c r="M176" s="7">
        <v>46059</v>
      </c>
      <c r="N176" s="10" t="s">
        <v>2485</v>
      </c>
      <c r="O176" s="5" t="s">
        <v>2486</v>
      </c>
      <c r="P176" s="5" t="s">
        <v>2581</v>
      </c>
      <c r="Q176" s="6"/>
      <c r="R176" s="6"/>
      <c r="S176" s="52" t="s">
        <v>2582</v>
      </c>
    </row>
    <row r="177" spans="1:19" x14ac:dyDescent="0.35">
      <c r="A177" s="5" t="s">
        <v>3097</v>
      </c>
      <c r="B177" s="5" t="s">
        <v>2537</v>
      </c>
      <c r="C177" s="5" t="s">
        <v>3098</v>
      </c>
      <c r="D177" s="5" t="s">
        <v>17</v>
      </c>
      <c r="E177" s="5" t="s">
        <v>19</v>
      </c>
      <c r="F177" s="5" t="s">
        <v>20</v>
      </c>
      <c r="G177" s="5" t="s">
        <v>20</v>
      </c>
      <c r="H177" s="5" t="s">
        <v>20</v>
      </c>
      <c r="I177" s="5" t="s">
        <v>157</v>
      </c>
      <c r="J177" s="5" t="s">
        <v>1787</v>
      </c>
      <c r="K177" s="5" t="s">
        <v>86</v>
      </c>
      <c r="L177" s="7">
        <v>45833</v>
      </c>
      <c r="M177" s="7">
        <v>46142</v>
      </c>
      <c r="N177" s="10" t="s">
        <v>683</v>
      </c>
      <c r="O177" s="5" t="s">
        <v>2494</v>
      </c>
      <c r="P177" s="5" t="s">
        <v>2996</v>
      </c>
      <c r="Q177" s="6"/>
      <c r="R177" s="6"/>
      <c r="S177" s="6" t="s">
        <v>2473</v>
      </c>
    </row>
    <row r="178" spans="1:19" x14ac:dyDescent="0.35">
      <c r="A178" s="5" t="s">
        <v>3099</v>
      </c>
      <c r="B178" s="5" t="s">
        <v>3100</v>
      </c>
      <c r="C178" s="5" t="s">
        <v>3101</v>
      </c>
      <c r="D178" s="5" t="s">
        <v>17</v>
      </c>
      <c r="E178" s="5" t="s">
        <v>19</v>
      </c>
      <c r="F178" s="5" t="s">
        <v>241</v>
      </c>
      <c r="G178" s="5" t="s">
        <v>242</v>
      </c>
      <c r="H178" s="5" t="s">
        <v>242</v>
      </c>
      <c r="I178" s="5" t="s">
        <v>138</v>
      </c>
      <c r="J178" s="5" t="s">
        <v>3102</v>
      </c>
      <c r="K178" s="5" t="s">
        <v>426</v>
      </c>
      <c r="L178" s="7">
        <v>45831</v>
      </c>
      <c r="M178" s="7">
        <v>46032</v>
      </c>
      <c r="N178" s="10" t="s">
        <v>2485</v>
      </c>
      <c r="O178" s="5" t="s">
        <v>2486</v>
      </c>
      <c r="P178" s="5" t="s">
        <v>2581</v>
      </c>
      <c r="Q178" s="6"/>
      <c r="R178" s="6"/>
      <c r="S178" s="52" t="s">
        <v>2582</v>
      </c>
    </row>
    <row r="179" spans="1:19" x14ac:dyDescent="0.35">
      <c r="A179" s="5" t="s">
        <v>3103</v>
      </c>
      <c r="B179" s="5" t="s">
        <v>3104</v>
      </c>
      <c r="C179" s="5" t="s">
        <v>3105</v>
      </c>
      <c r="D179" s="5" t="s">
        <v>28</v>
      </c>
      <c r="E179" s="5" t="s">
        <v>130</v>
      </c>
      <c r="F179" s="5" t="s">
        <v>241</v>
      </c>
      <c r="G179" s="5" t="s">
        <v>242</v>
      </c>
      <c r="H179" s="5" t="s">
        <v>242</v>
      </c>
      <c r="I179" s="5" t="s">
        <v>282</v>
      </c>
      <c r="J179" s="5" t="s">
        <v>3106</v>
      </c>
      <c r="K179" s="5" t="s">
        <v>426</v>
      </c>
      <c r="L179" s="7">
        <v>45835</v>
      </c>
      <c r="M179" s="7">
        <v>46073</v>
      </c>
      <c r="N179" s="10" t="s">
        <v>2485</v>
      </c>
      <c r="O179" s="5" t="s">
        <v>2486</v>
      </c>
      <c r="P179" s="5" t="s">
        <v>2581</v>
      </c>
      <c r="Q179" s="6"/>
      <c r="R179" s="6"/>
      <c r="S179" s="52" t="s">
        <v>2582</v>
      </c>
    </row>
    <row r="180" spans="1:19" x14ac:dyDescent="0.35">
      <c r="A180" s="5" t="s">
        <v>3107</v>
      </c>
      <c r="B180" s="5" t="s">
        <v>3108</v>
      </c>
      <c r="C180" s="5" t="s">
        <v>3109</v>
      </c>
      <c r="D180" s="5" t="s">
        <v>17</v>
      </c>
      <c r="E180" s="5" t="s">
        <v>626</v>
      </c>
      <c r="F180" s="5" t="s">
        <v>241</v>
      </c>
      <c r="G180" s="5" t="s">
        <v>242</v>
      </c>
      <c r="H180" s="5" t="s">
        <v>242</v>
      </c>
      <c r="I180" s="5" t="s">
        <v>282</v>
      </c>
      <c r="J180" s="5" t="s">
        <v>2024</v>
      </c>
      <c r="K180" s="5" t="s">
        <v>426</v>
      </c>
      <c r="L180" s="7">
        <v>45839</v>
      </c>
      <c r="M180" s="7">
        <v>46066</v>
      </c>
      <c r="N180" s="10" t="s">
        <v>2485</v>
      </c>
      <c r="O180" s="5" t="s">
        <v>2494</v>
      </c>
      <c r="P180" s="5" t="s">
        <v>2573</v>
      </c>
      <c r="Q180" s="6"/>
      <c r="R180" s="6"/>
      <c r="S180" s="52" t="s">
        <v>2488</v>
      </c>
    </row>
    <row r="181" spans="1:19" x14ac:dyDescent="0.35">
      <c r="A181" s="5" t="s">
        <v>3110</v>
      </c>
      <c r="B181" s="5" t="s">
        <v>3111</v>
      </c>
      <c r="C181" s="5" t="s">
        <v>3112</v>
      </c>
      <c r="D181" s="5" t="s">
        <v>17</v>
      </c>
      <c r="E181" s="5" t="s">
        <v>626</v>
      </c>
      <c r="F181" s="5" t="s">
        <v>241</v>
      </c>
      <c r="G181" s="5" t="s">
        <v>242</v>
      </c>
      <c r="H181" s="5" t="s">
        <v>242</v>
      </c>
      <c r="I181" s="5" t="s">
        <v>282</v>
      </c>
      <c r="J181" s="5" t="s">
        <v>2024</v>
      </c>
      <c r="K181" s="5" t="s">
        <v>426</v>
      </c>
      <c r="L181" s="7">
        <v>45839</v>
      </c>
      <c r="M181" s="7">
        <v>46077</v>
      </c>
      <c r="N181" s="10" t="s">
        <v>2485</v>
      </c>
      <c r="O181" s="5" t="s">
        <v>2486</v>
      </c>
      <c r="P181" s="5" t="s">
        <v>2581</v>
      </c>
      <c r="Q181" s="6"/>
      <c r="R181" s="6"/>
      <c r="S181" s="52" t="s">
        <v>2582</v>
      </c>
    </row>
    <row r="182" spans="1:19" x14ac:dyDescent="0.35">
      <c r="A182" s="5" t="s">
        <v>3113</v>
      </c>
      <c r="B182" s="5" t="s">
        <v>3114</v>
      </c>
      <c r="C182" s="5" t="s">
        <v>3115</v>
      </c>
      <c r="D182" s="5" t="s">
        <v>28</v>
      </c>
      <c r="E182" s="5" t="s">
        <v>156</v>
      </c>
      <c r="F182" s="5" t="s">
        <v>241</v>
      </c>
      <c r="G182" s="5" t="s">
        <v>242</v>
      </c>
      <c r="H182" s="5" t="s">
        <v>242</v>
      </c>
      <c r="I182" s="5" t="s">
        <v>702</v>
      </c>
      <c r="J182" s="5" t="s">
        <v>221</v>
      </c>
      <c r="K182" s="5" t="s">
        <v>470</v>
      </c>
      <c r="L182" s="7">
        <v>45839</v>
      </c>
      <c r="M182" s="7">
        <v>46143</v>
      </c>
      <c r="N182" s="10" t="s">
        <v>683</v>
      </c>
      <c r="O182" s="5" t="s">
        <v>2486</v>
      </c>
      <c r="P182" s="5" t="s">
        <v>2693</v>
      </c>
      <c r="Q182" s="6"/>
      <c r="R182" s="6"/>
      <c r="S182" s="6" t="s">
        <v>2515</v>
      </c>
    </row>
    <row r="183" spans="1:19" x14ac:dyDescent="0.35">
      <c r="A183" s="5" t="s">
        <v>3116</v>
      </c>
      <c r="B183" s="5" t="s">
        <v>3117</v>
      </c>
      <c r="C183" s="5" t="s">
        <v>3118</v>
      </c>
      <c r="D183" s="5" t="s">
        <v>17</v>
      </c>
      <c r="E183" s="5" t="s">
        <v>156</v>
      </c>
      <c r="F183" s="5" t="s">
        <v>241</v>
      </c>
      <c r="G183" s="5" t="s">
        <v>242</v>
      </c>
      <c r="H183" s="5" t="s">
        <v>242</v>
      </c>
      <c r="I183" s="5" t="s">
        <v>39</v>
      </c>
      <c r="J183" s="5" t="s">
        <v>1357</v>
      </c>
      <c r="K183" s="5" t="s">
        <v>470</v>
      </c>
      <c r="L183" s="7">
        <v>45853</v>
      </c>
      <c r="M183" s="7">
        <v>46112</v>
      </c>
      <c r="N183" s="10" t="s">
        <v>2485</v>
      </c>
      <c r="O183" s="5" t="s">
        <v>2486</v>
      </c>
      <c r="P183" s="5" t="s">
        <v>2581</v>
      </c>
      <c r="Q183" s="6"/>
      <c r="R183" s="6"/>
      <c r="S183" s="52" t="s">
        <v>2582</v>
      </c>
    </row>
    <row r="184" spans="1:19" x14ac:dyDescent="0.35">
      <c r="A184" s="5" t="s">
        <v>3119</v>
      </c>
      <c r="B184" s="5" t="s">
        <v>3120</v>
      </c>
      <c r="C184" s="5" t="s">
        <v>3121</v>
      </c>
      <c r="D184" s="5" t="s">
        <v>17</v>
      </c>
      <c r="E184" s="5" t="s">
        <v>19</v>
      </c>
      <c r="F184" s="5" t="s">
        <v>29</v>
      </c>
      <c r="G184" s="5" t="s">
        <v>395</v>
      </c>
      <c r="H184" s="5" t="s">
        <v>395</v>
      </c>
      <c r="I184" s="5"/>
      <c r="J184" s="5" t="s">
        <v>3122</v>
      </c>
      <c r="K184" s="5" t="s">
        <v>188</v>
      </c>
      <c r="L184" s="7">
        <v>45849</v>
      </c>
      <c r="M184" s="7">
        <v>46090</v>
      </c>
      <c r="N184" s="10" t="s">
        <v>2485</v>
      </c>
      <c r="O184" s="5" t="s">
        <v>2486</v>
      </c>
      <c r="P184" s="5" t="s">
        <v>2547</v>
      </c>
      <c r="Q184" s="6" t="s">
        <v>76</v>
      </c>
      <c r="R184" s="6" t="s">
        <v>18</v>
      </c>
      <c r="S184" s="6" t="s">
        <v>2475</v>
      </c>
    </row>
    <row r="185" spans="1:19" x14ac:dyDescent="0.35">
      <c r="A185" s="5" t="s">
        <v>3123</v>
      </c>
      <c r="B185" s="5" t="s">
        <v>3124</v>
      </c>
      <c r="C185" s="5" t="s">
        <v>3125</v>
      </c>
      <c r="D185" s="5" t="s">
        <v>17</v>
      </c>
      <c r="E185" s="5" t="s">
        <v>19</v>
      </c>
      <c r="F185" s="5" t="s">
        <v>29</v>
      </c>
      <c r="G185" s="5" t="s">
        <v>395</v>
      </c>
      <c r="H185" s="5" t="s">
        <v>395</v>
      </c>
      <c r="I185" s="5"/>
      <c r="J185" s="5" t="s">
        <v>3126</v>
      </c>
      <c r="K185" s="5" t="s">
        <v>188</v>
      </c>
      <c r="L185" s="7">
        <v>45852</v>
      </c>
      <c r="M185" s="7">
        <v>46069</v>
      </c>
      <c r="N185" s="10" t="s">
        <v>2485</v>
      </c>
      <c r="O185" s="5" t="s">
        <v>2486</v>
      </c>
      <c r="P185" s="5" t="s">
        <v>2514</v>
      </c>
      <c r="Q185" s="6" t="s">
        <v>76</v>
      </c>
      <c r="R185" s="6" t="s">
        <v>18</v>
      </c>
      <c r="S185" s="6" t="s">
        <v>2515</v>
      </c>
    </row>
    <row r="186" spans="1:19" x14ac:dyDescent="0.35">
      <c r="A186" s="5" t="s">
        <v>3127</v>
      </c>
      <c r="B186" s="5" t="s">
        <v>3128</v>
      </c>
      <c r="C186" s="5" t="s">
        <v>3129</v>
      </c>
      <c r="D186" s="5" t="s">
        <v>17</v>
      </c>
      <c r="E186" s="5" t="s">
        <v>225</v>
      </c>
      <c r="F186" s="5" t="s">
        <v>241</v>
      </c>
      <c r="G186" s="5" t="s">
        <v>242</v>
      </c>
      <c r="H186" s="5" t="s">
        <v>242</v>
      </c>
      <c r="I186" s="5" t="s">
        <v>282</v>
      </c>
      <c r="J186" s="5" t="s">
        <v>3130</v>
      </c>
      <c r="K186" s="5" t="s">
        <v>426</v>
      </c>
      <c r="L186" s="7">
        <v>45852</v>
      </c>
      <c r="M186" s="7">
        <v>46059</v>
      </c>
      <c r="N186" s="10" t="s">
        <v>2485</v>
      </c>
      <c r="O186" s="5" t="s">
        <v>2486</v>
      </c>
      <c r="P186" s="5" t="s">
        <v>2581</v>
      </c>
      <c r="Q186" s="6"/>
      <c r="R186" s="6"/>
      <c r="S186" s="52" t="s">
        <v>2582</v>
      </c>
    </row>
    <row r="187" spans="1:19" x14ac:dyDescent="0.35">
      <c r="A187" s="5" t="s">
        <v>3131</v>
      </c>
      <c r="B187" s="5" t="s">
        <v>3132</v>
      </c>
      <c r="C187" s="5" t="s">
        <v>3133</v>
      </c>
      <c r="D187" s="5" t="s">
        <v>17</v>
      </c>
      <c r="E187" s="5" t="s">
        <v>156</v>
      </c>
      <c r="F187" s="5" t="s">
        <v>241</v>
      </c>
      <c r="G187" s="5" t="s">
        <v>242</v>
      </c>
      <c r="H187" s="5" t="s">
        <v>242</v>
      </c>
      <c r="I187" s="5" t="s">
        <v>282</v>
      </c>
      <c r="J187" s="5" t="s">
        <v>3134</v>
      </c>
      <c r="K187" s="5" t="s">
        <v>426</v>
      </c>
      <c r="L187" s="7">
        <v>45852</v>
      </c>
      <c r="M187" s="7">
        <v>46090</v>
      </c>
      <c r="N187" s="10" t="s">
        <v>2485</v>
      </c>
      <c r="O187" s="5" t="s">
        <v>2486</v>
      </c>
      <c r="P187" s="5" t="s">
        <v>2581</v>
      </c>
      <c r="Q187" s="6"/>
      <c r="R187" s="6"/>
      <c r="S187" s="52" t="s">
        <v>2582</v>
      </c>
    </row>
    <row r="188" spans="1:19" x14ac:dyDescent="0.35">
      <c r="A188" s="5" t="s">
        <v>3135</v>
      </c>
      <c r="B188" s="5" t="s">
        <v>3136</v>
      </c>
      <c r="C188" s="5" t="s">
        <v>3137</v>
      </c>
      <c r="D188" s="5" t="s">
        <v>17</v>
      </c>
      <c r="E188" s="5" t="s">
        <v>19</v>
      </c>
      <c r="F188" s="5" t="s">
        <v>241</v>
      </c>
      <c r="G188" s="5" t="s">
        <v>242</v>
      </c>
      <c r="H188" s="5" t="s">
        <v>242</v>
      </c>
      <c r="I188" s="5" t="s">
        <v>138</v>
      </c>
      <c r="J188" s="5" t="s">
        <v>1391</v>
      </c>
      <c r="K188" s="5" t="s">
        <v>426</v>
      </c>
      <c r="L188" s="7">
        <v>45854</v>
      </c>
      <c r="M188" s="7">
        <v>46037</v>
      </c>
      <c r="N188" s="10" t="s">
        <v>2485</v>
      </c>
      <c r="O188" s="5" t="s">
        <v>2486</v>
      </c>
      <c r="P188" s="5" t="s">
        <v>2581</v>
      </c>
      <c r="Q188" s="6"/>
      <c r="R188" s="6"/>
      <c r="S188" s="52" t="s">
        <v>2582</v>
      </c>
    </row>
    <row r="189" spans="1:19" x14ac:dyDescent="0.35">
      <c r="A189" s="5" t="s">
        <v>3138</v>
      </c>
      <c r="B189" s="5" t="s">
        <v>3139</v>
      </c>
      <c r="C189" s="5" t="s">
        <v>3140</v>
      </c>
      <c r="D189" s="5" t="s">
        <v>17</v>
      </c>
      <c r="E189" s="5" t="s">
        <v>19</v>
      </c>
      <c r="F189" s="5" t="s">
        <v>241</v>
      </c>
      <c r="G189" s="5" t="s">
        <v>242</v>
      </c>
      <c r="H189" s="5" t="s">
        <v>242</v>
      </c>
      <c r="I189" s="5" t="s">
        <v>702</v>
      </c>
      <c r="J189" s="5" t="s">
        <v>3141</v>
      </c>
      <c r="K189" s="5" t="s">
        <v>470</v>
      </c>
      <c r="L189" s="7">
        <v>45855</v>
      </c>
      <c r="M189" s="7">
        <v>46203</v>
      </c>
      <c r="N189" s="10" t="s">
        <v>683</v>
      </c>
      <c r="O189" s="5" t="s">
        <v>2494</v>
      </c>
      <c r="P189" s="5" t="s">
        <v>2573</v>
      </c>
      <c r="Q189" s="6"/>
      <c r="R189" s="6"/>
      <c r="S189" s="52" t="s">
        <v>2488</v>
      </c>
    </row>
    <row r="190" spans="1:19" x14ac:dyDescent="0.35">
      <c r="A190" s="5" t="s">
        <v>3142</v>
      </c>
      <c r="B190" s="5" t="s">
        <v>3143</v>
      </c>
      <c r="C190" s="5" t="s">
        <v>3144</v>
      </c>
      <c r="D190" s="5" t="s">
        <v>17</v>
      </c>
      <c r="E190" s="5" t="s">
        <v>156</v>
      </c>
      <c r="F190" s="5" t="s">
        <v>241</v>
      </c>
      <c r="G190" s="5" t="s">
        <v>242</v>
      </c>
      <c r="H190" s="5" t="s">
        <v>242</v>
      </c>
      <c r="I190" s="5" t="s">
        <v>282</v>
      </c>
      <c r="J190" s="5" t="s">
        <v>1892</v>
      </c>
      <c r="K190" s="5" t="s">
        <v>426</v>
      </c>
      <c r="L190" s="7">
        <v>45859</v>
      </c>
      <c r="M190" s="7">
        <v>46053</v>
      </c>
      <c r="N190" s="10" t="s">
        <v>2485</v>
      </c>
      <c r="O190" s="5" t="s">
        <v>2486</v>
      </c>
      <c r="P190" s="5" t="s">
        <v>2581</v>
      </c>
      <c r="Q190" s="6"/>
      <c r="R190" s="6"/>
      <c r="S190" s="52" t="s">
        <v>2582</v>
      </c>
    </row>
    <row r="191" spans="1:19" x14ac:dyDescent="0.35">
      <c r="A191" s="5" t="s">
        <v>3145</v>
      </c>
      <c r="B191" s="5" t="s">
        <v>3146</v>
      </c>
      <c r="C191" s="5" t="s">
        <v>3147</v>
      </c>
      <c r="D191" s="5" t="s">
        <v>28</v>
      </c>
      <c r="E191" s="5" t="s">
        <v>156</v>
      </c>
      <c r="F191" s="5" t="s">
        <v>241</v>
      </c>
      <c r="G191" s="5" t="s">
        <v>242</v>
      </c>
      <c r="H191" s="5" t="s">
        <v>242</v>
      </c>
      <c r="I191" s="5" t="s">
        <v>282</v>
      </c>
      <c r="J191" s="5" t="s">
        <v>3148</v>
      </c>
      <c r="K191" s="5" t="s">
        <v>426</v>
      </c>
      <c r="L191" s="7">
        <v>45859</v>
      </c>
      <c r="M191" s="7">
        <v>46053</v>
      </c>
      <c r="N191" s="10" t="s">
        <v>2485</v>
      </c>
      <c r="O191" s="5" t="s">
        <v>2486</v>
      </c>
      <c r="P191" s="5" t="s">
        <v>2581</v>
      </c>
      <c r="Q191" s="6"/>
      <c r="R191" s="6"/>
      <c r="S191" s="52" t="s">
        <v>2582</v>
      </c>
    </row>
    <row r="192" spans="1:19" x14ac:dyDescent="0.35">
      <c r="A192" s="5" t="s">
        <v>3149</v>
      </c>
      <c r="B192" s="5" t="s">
        <v>3150</v>
      </c>
      <c r="C192" s="5" t="s">
        <v>3151</v>
      </c>
      <c r="D192" s="5" t="s">
        <v>28</v>
      </c>
      <c r="E192" s="5" t="s">
        <v>156</v>
      </c>
      <c r="F192" s="5" t="s">
        <v>241</v>
      </c>
      <c r="G192" s="5" t="s">
        <v>242</v>
      </c>
      <c r="H192" s="5" t="s">
        <v>242</v>
      </c>
      <c r="I192" s="5" t="s">
        <v>282</v>
      </c>
      <c r="J192" s="5" t="s">
        <v>1892</v>
      </c>
      <c r="K192" s="5" t="s">
        <v>426</v>
      </c>
      <c r="L192" s="7">
        <v>45859</v>
      </c>
      <c r="M192" s="7">
        <v>46053</v>
      </c>
      <c r="N192" s="10" t="s">
        <v>2485</v>
      </c>
      <c r="O192" s="5" t="s">
        <v>2486</v>
      </c>
      <c r="P192" s="5" t="s">
        <v>2581</v>
      </c>
      <c r="Q192" s="6"/>
      <c r="R192" s="6"/>
      <c r="S192" s="52" t="s">
        <v>2582</v>
      </c>
    </row>
    <row r="193" spans="1:19" x14ac:dyDescent="0.35">
      <c r="A193" s="5" t="s">
        <v>3152</v>
      </c>
      <c r="B193" s="5" t="s">
        <v>3153</v>
      </c>
      <c r="C193" s="5" t="s">
        <v>3154</v>
      </c>
      <c r="D193" s="5" t="s">
        <v>28</v>
      </c>
      <c r="E193" s="5" t="s">
        <v>156</v>
      </c>
      <c r="F193" s="5" t="s">
        <v>241</v>
      </c>
      <c r="G193" s="5" t="s">
        <v>242</v>
      </c>
      <c r="H193" s="5" t="s">
        <v>242</v>
      </c>
      <c r="I193" s="5" t="s">
        <v>282</v>
      </c>
      <c r="J193" s="5" t="s">
        <v>1892</v>
      </c>
      <c r="K193" s="5" t="s">
        <v>426</v>
      </c>
      <c r="L193" s="7">
        <v>45859</v>
      </c>
      <c r="M193" s="7">
        <v>46053</v>
      </c>
      <c r="N193" s="10" t="s">
        <v>2485</v>
      </c>
      <c r="O193" s="5" t="s">
        <v>2486</v>
      </c>
      <c r="P193" s="5" t="s">
        <v>2581</v>
      </c>
      <c r="Q193" s="6"/>
      <c r="R193" s="6"/>
      <c r="S193" s="52" t="s">
        <v>2582</v>
      </c>
    </row>
    <row r="194" spans="1:19" x14ac:dyDescent="0.35">
      <c r="A194" s="5" t="s">
        <v>3155</v>
      </c>
      <c r="B194" s="5" t="s">
        <v>3156</v>
      </c>
      <c r="C194" s="5" t="s">
        <v>3157</v>
      </c>
      <c r="D194" s="5" t="s">
        <v>28</v>
      </c>
      <c r="E194" s="5" t="s">
        <v>156</v>
      </c>
      <c r="F194" s="5" t="s">
        <v>241</v>
      </c>
      <c r="G194" s="5" t="s">
        <v>242</v>
      </c>
      <c r="H194" s="5" t="s">
        <v>242</v>
      </c>
      <c r="I194" s="5" t="s">
        <v>282</v>
      </c>
      <c r="J194" s="5" t="s">
        <v>1892</v>
      </c>
      <c r="K194" s="5" t="s">
        <v>426</v>
      </c>
      <c r="L194" s="7">
        <v>45859</v>
      </c>
      <c r="M194" s="7">
        <v>46053</v>
      </c>
      <c r="N194" s="10" t="s">
        <v>2485</v>
      </c>
      <c r="O194" s="5" t="s">
        <v>2486</v>
      </c>
      <c r="P194" s="5" t="s">
        <v>2581</v>
      </c>
      <c r="Q194" s="6"/>
      <c r="R194" s="6"/>
      <c r="S194" s="52" t="s">
        <v>2582</v>
      </c>
    </row>
    <row r="195" spans="1:19" x14ac:dyDescent="0.35">
      <c r="A195" s="5" t="s">
        <v>3158</v>
      </c>
      <c r="B195" s="5" t="s">
        <v>3159</v>
      </c>
      <c r="C195" s="5" t="s">
        <v>3160</v>
      </c>
      <c r="D195" s="5" t="s">
        <v>28</v>
      </c>
      <c r="E195" s="5" t="s">
        <v>156</v>
      </c>
      <c r="F195" s="5" t="s">
        <v>241</v>
      </c>
      <c r="G195" s="5" t="s">
        <v>242</v>
      </c>
      <c r="H195" s="5" t="s">
        <v>242</v>
      </c>
      <c r="I195" s="5" t="s">
        <v>282</v>
      </c>
      <c r="J195" s="5" t="s">
        <v>3161</v>
      </c>
      <c r="K195" s="5" t="s">
        <v>426</v>
      </c>
      <c r="L195" s="7">
        <v>45859</v>
      </c>
      <c r="M195" s="7">
        <v>46037</v>
      </c>
      <c r="N195" s="10" t="s">
        <v>2485</v>
      </c>
      <c r="O195" s="5" t="s">
        <v>2486</v>
      </c>
      <c r="P195" s="5" t="s">
        <v>2581</v>
      </c>
      <c r="Q195" s="6"/>
      <c r="R195" s="6"/>
      <c r="S195" s="52" t="s">
        <v>2582</v>
      </c>
    </row>
    <row r="196" spans="1:19" x14ac:dyDescent="0.35">
      <c r="A196" s="5" t="s">
        <v>3162</v>
      </c>
      <c r="B196" s="5" t="s">
        <v>3163</v>
      </c>
      <c r="C196" s="5" t="s">
        <v>3164</v>
      </c>
      <c r="D196" s="5" t="s">
        <v>17</v>
      </c>
      <c r="E196" s="5" t="s">
        <v>74</v>
      </c>
      <c r="F196" s="5" t="s">
        <v>241</v>
      </c>
      <c r="G196" s="5" t="s">
        <v>242</v>
      </c>
      <c r="H196" s="5" t="s">
        <v>242</v>
      </c>
      <c r="I196" s="5" t="s">
        <v>138</v>
      </c>
      <c r="J196" s="5" t="s">
        <v>1528</v>
      </c>
      <c r="K196" s="5" t="s">
        <v>426</v>
      </c>
      <c r="L196" s="7">
        <v>45859</v>
      </c>
      <c r="M196" s="7">
        <v>46170</v>
      </c>
      <c r="N196" s="10" t="s">
        <v>683</v>
      </c>
      <c r="O196" s="5" t="s">
        <v>2494</v>
      </c>
      <c r="P196" s="5" t="s">
        <v>2573</v>
      </c>
      <c r="Q196" s="6"/>
      <c r="R196" s="6"/>
      <c r="S196" s="52" t="s">
        <v>2488</v>
      </c>
    </row>
    <row r="197" spans="1:19" x14ac:dyDescent="0.35">
      <c r="A197" s="5" t="s">
        <v>3165</v>
      </c>
      <c r="B197" s="5" t="s">
        <v>3166</v>
      </c>
      <c r="C197" s="5" t="s">
        <v>3167</v>
      </c>
      <c r="D197" s="5" t="s">
        <v>28</v>
      </c>
      <c r="E197" s="5" t="s">
        <v>19</v>
      </c>
      <c r="F197" s="5" t="s">
        <v>241</v>
      </c>
      <c r="G197" s="5" t="s">
        <v>242</v>
      </c>
      <c r="H197" s="5" t="s">
        <v>242</v>
      </c>
      <c r="I197" s="5" t="s">
        <v>138</v>
      </c>
      <c r="J197" s="5" t="s">
        <v>3168</v>
      </c>
      <c r="K197" s="5" t="s">
        <v>426</v>
      </c>
      <c r="L197" s="7">
        <v>45862</v>
      </c>
      <c r="M197" s="7">
        <v>46295</v>
      </c>
      <c r="N197" s="10" t="s">
        <v>2493</v>
      </c>
      <c r="O197" s="5" t="s">
        <v>2486</v>
      </c>
      <c r="P197" s="5" t="s">
        <v>2581</v>
      </c>
      <c r="Q197" s="6"/>
      <c r="R197" s="6"/>
      <c r="S197" s="52" t="s">
        <v>2582</v>
      </c>
    </row>
    <row r="198" spans="1:19" x14ac:dyDescent="0.35">
      <c r="A198" s="5" t="s">
        <v>3169</v>
      </c>
      <c r="B198" s="5" t="s">
        <v>3170</v>
      </c>
      <c r="C198" s="5" t="s">
        <v>3171</v>
      </c>
      <c r="D198" s="5" t="s">
        <v>17</v>
      </c>
      <c r="E198" s="5" t="s">
        <v>19</v>
      </c>
      <c r="F198" s="5" t="s">
        <v>29</v>
      </c>
      <c r="G198" s="5" t="s">
        <v>395</v>
      </c>
      <c r="H198" s="5" t="s">
        <v>395</v>
      </c>
      <c r="I198" s="5"/>
      <c r="J198" s="5" t="s">
        <v>3126</v>
      </c>
      <c r="K198" s="5" t="s">
        <v>188</v>
      </c>
      <c r="L198" s="7">
        <v>45869</v>
      </c>
      <c r="M198" s="7">
        <v>46069</v>
      </c>
      <c r="N198" s="10" t="s">
        <v>2485</v>
      </c>
      <c r="O198" s="5" t="s">
        <v>2486</v>
      </c>
      <c r="P198" s="5" t="s">
        <v>2514</v>
      </c>
      <c r="Q198" s="6" t="s">
        <v>76</v>
      </c>
      <c r="R198" s="6" t="s">
        <v>18</v>
      </c>
      <c r="S198" s="6" t="s">
        <v>2515</v>
      </c>
    </row>
    <row r="199" spans="1:19" x14ac:dyDescent="0.35">
      <c r="A199" s="5" t="s">
        <v>3172</v>
      </c>
      <c r="B199" s="5" t="s">
        <v>3173</v>
      </c>
      <c r="C199" s="5" t="s">
        <v>3174</v>
      </c>
      <c r="D199" s="5" t="s">
        <v>17</v>
      </c>
      <c r="E199" s="5" t="s">
        <v>156</v>
      </c>
      <c r="F199" s="5" t="s">
        <v>241</v>
      </c>
      <c r="G199" s="5" t="s">
        <v>242</v>
      </c>
      <c r="H199" s="5" t="s">
        <v>242</v>
      </c>
      <c r="I199" s="5" t="s">
        <v>683</v>
      </c>
      <c r="J199" s="5" t="s">
        <v>3175</v>
      </c>
      <c r="K199" s="5" t="s">
        <v>426</v>
      </c>
      <c r="L199" s="7">
        <v>45866</v>
      </c>
      <c r="M199" s="7">
        <v>46042</v>
      </c>
      <c r="N199" s="10" t="s">
        <v>2485</v>
      </c>
      <c r="O199" s="5" t="s">
        <v>2486</v>
      </c>
      <c r="P199" s="5" t="s">
        <v>2581</v>
      </c>
      <c r="Q199" s="6"/>
      <c r="R199" s="6"/>
      <c r="S199" s="52" t="s">
        <v>2582</v>
      </c>
    </row>
    <row r="200" spans="1:19" x14ac:dyDescent="0.35">
      <c r="A200" s="5" t="s">
        <v>3176</v>
      </c>
      <c r="B200" s="5" t="s">
        <v>3177</v>
      </c>
      <c r="C200" s="5" t="s">
        <v>3178</v>
      </c>
      <c r="D200" s="5" t="s">
        <v>17</v>
      </c>
      <c r="E200" s="5" t="s">
        <v>156</v>
      </c>
      <c r="F200" s="5" t="s">
        <v>241</v>
      </c>
      <c r="G200" s="5" t="s">
        <v>242</v>
      </c>
      <c r="H200" s="5" t="s">
        <v>242</v>
      </c>
      <c r="I200" s="5" t="s">
        <v>282</v>
      </c>
      <c r="J200" s="5" t="s">
        <v>1560</v>
      </c>
      <c r="K200" s="5" t="s">
        <v>426</v>
      </c>
      <c r="L200" s="7">
        <v>45866</v>
      </c>
      <c r="M200" s="7">
        <v>46053</v>
      </c>
      <c r="N200" s="10" t="s">
        <v>2485</v>
      </c>
      <c r="O200" s="5" t="s">
        <v>2486</v>
      </c>
      <c r="P200" s="5" t="s">
        <v>2581</v>
      </c>
      <c r="Q200" s="6"/>
      <c r="R200" s="6"/>
      <c r="S200" s="52" t="s">
        <v>2582</v>
      </c>
    </row>
    <row r="201" spans="1:19" x14ac:dyDescent="0.35">
      <c r="A201" s="5" t="s">
        <v>3179</v>
      </c>
      <c r="B201" s="5" t="s">
        <v>3180</v>
      </c>
      <c r="C201" s="5" t="s">
        <v>3181</v>
      </c>
      <c r="D201" s="5" t="s">
        <v>17</v>
      </c>
      <c r="E201" s="5" t="s">
        <v>19</v>
      </c>
      <c r="F201" s="5" t="s">
        <v>241</v>
      </c>
      <c r="G201" s="5" t="s">
        <v>242</v>
      </c>
      <c r="H201" s="5" t="s">
        <v>242</v>
      </c>
      <c r="I201" s="5" t="s">
        <v>702</v>
      </c>
      <c r="J201" s="5" t="s">
        <v>221</v>
      </c>
      <c r="K201" s="5" t="s">
        <v>470</v>
      </c>
      <c r="L201" s="7">
        <v>45868</v>
      </c>
      <c r="M201" s="7">
        <v>46171</v>
      </c>
      <c r="N201" s="10" t="s">
        <v>683</v>
      </c>
      <c r="O201" s="5" t="s">
        <v>2494</v>
      </c>
      <c r="P201" s="5" t="s">
        <v>2573</v>
      </c>
      <c r="Q201" s="6"/>
      <c r="R201" s="6"/>
      <c r="S201" s="52" t="s">
        <v>2488</v>
      </c>
    </row>
    <row r="202" spans="1:19" x14ac:dyDescent="0.35">
      <c r="A202" s="5" t="s">
        <v>3182</v>
      </c>
      <c r="B202" s="5" t="s">
        <v>3183</v>
      </c>
      <c r="C202" s="5" t="s">
        <v>3184</v>
      </c>
      <c r="D202" s="5" t="s">
        <v>28</v>
      </c>
      <c r="E202" s="5" t="s">
        <v>130</v>
      </c>
      <c r="F202" s="5" t="s">
        <v>241</v>
      </c>
      <c r="G202" s="5" t="s">
        <v>242</v>
      </c>
      <c r="H202" s="5" t="s">
        <v>242</v>
      </c>
      <c r="I202" s="5" t="s">
        <v>138</v>
      </c>
      <c r="J202" s="5" t="s">
        <v>3185</v>
      </c>
      <c r="K202" s="5" t="s">
        <v>426</v>
      </c>
      <c r="L202" s="7">
        <v>45868</v>
      </c>
      <c r="M202" s="7">
        <v>46171</v>
      </c>
      <c r="N202" s="10" t="s">
        <v>683</v>
      </c>
      <c r="O202" s="5" t="s">
        <v>2486</v>
      </c>
      <c r="P202" s="5" t="s">
        <v>2845</v>
      </c>
      <c r="Q202" s="6"/>
      <c r="R202" s="6"/>
      <c r="S202" s="6" t="s">
        <v>2515</v>
      </c>
    </row>
    <row r="203" spans="1:19" x14ac:dyDescent="0.35">
      <c r="A203" s="5" t="s">
        <v>3186</v>
      </c>
      <c r="B203" s="5" t="s">
        <v>3187</v>
      </c>
      <c r="C203" s="5" t="s">
        <v>3188</v>
      </c>
      <c r="D203" s="5" t="s">
        <v>28</v>
      </c>
      <c r="E203" s="5" t="s">
        <v>156</v>
      </c>
      <c r="F203" s="5" t="s">
        <v>241</v>
      </c>
      <c r="G203" s="5" t="s">
        <v>242</v>
      </c>
      <c r="H203" s="5" t="s">
        <v>242</v>
      </c>
      <c r="I203" s="5" t="s">
        <v>39</v>
      </c>
      <c r="J203" s="5" t="s">
        <v>3189</v>
      </c>
      <c r="K203" s="5" t="s">
        <v>470</v>
      </c>
      <c r="L203" s="7">
        <v>45880</v>
      </c>
      <c r="M203" s="7">
        <v>46037</v>
      </c>
      <c r="N203" s="10" t="s">
        <v>2485</v>
      </c>
      <c r="O203" s="5" t="s">
        <v>2486</v>
      </c>
      <c r="P203" s="5" t="s">
        <v>2978</v>
      </c>
      <c r="Q203" s="6"/>
      <c r="R203" s="6"/>
      <c r="S203" s="6" t="s">
        <v>2515</v>
      </c>
    </row>
    <row r="204" spans="1:19" x14ac:dyDescent="0.35">
      <c r="A204" s="5" t="s">
        <v>3190</v>
      </c>
      <c r="B204" s="5" t="s">
        <v>3191</v>
      </c>
      <c r="C204" s="5" t="s">
        <v>3192</v>
      </c>
      <c r="D204" s="5" t="s">
        <v>17</v>
      </c>
      <c r="E204" s="5" t="s">
        <v>156</v>
      </c>
      <c r="F204" s="5" t="s">
        <v>241</v>
      </c>
      <c r="G204" s="5" t="s">
        <v>242</v>
      </c>
      <c r="H204" s="5" t="s">
        <v>242</v>
      </c>
      <c r="I204" s="5" t="s">
        <v>39</v>
      </c>
      <c r="J204" s="5" t="s">
        <v>892</v>
      </c>
      <c r="K204" s="5" t="s">
        <v>470</v>
      </c>
      <c r="L204" s="7">
        <v>45880</v>
      </c>
      <c r="M204" s="7">
        <v>46139</v>
      </c>
      <c r="N204" s="10" t="s">
        <v>683</v>
      </c>
      <c r="O204" s="5" t="s">
        <v>2494</v>
      </c>
      <c r="P204" s="5" t="s">
        <v>2573</v>
      </c>
      <c r="Q204" s="6"/>
      <c r="R204" s="6"/>
      <c r="S204" s="52" t="s">
        <v>2488</v>
      </c>
    </row>
    <row r="205" spans="1:19" x14ac:dyDescent="0.35">
      <c r="A205" s="5" t="s">
        <v>3193</v>
      </c>
      <c r="B205" s="5" t="s">
        <v>3194</v>
      </c>
      <c r="C205" s="5" t="s">
        <v>3195</v>
      </c>
      <c r="D205" s="5" t="s">
        <v>17</v>
      </c>
      <c r="E205" s="5" t="s">
        <v>130</v>
      </c>
      <c r="F205" s="5" t="s">
        <v>241</v>
      </c>
      <c r="G205" s="5" t="s">
        <v>242</v>
      </c>
      <c r="H205" s="5" t="s">
        <v>242</v>
      </c>
      <c r="I205" s="5" t="s">
        <v>138</v>
      </c>
      <c r="J205" s="5" t="s">
        <v>3196</v>
      </c>
      <c r="K205" s="5" t="s">
        <v>426</v>
      </c>
      <c r="L205" s="7">
        <v>45873</v>
      </c>
      <c r="M205" s="7">
        <v>46164</v>
      </c>
      <c r="N205" s="10" t="s">
        <v>683</v>
      </c>
      <c r="O205" s="5" t="s">
        <v>2486</v>
      </c>
      <c r="P205" s="5" t="s">
        <v>3197</v>
      </c>
      <c r="Q205" s="6"/>
      <c r="R205" s="6"/>
      <c r="S205" s="52" t="s">
        <v>2488</v>
      </c>
    </row>
    <row r="206" spans="1:19" x14ac:dyDescent="0.35">
      <c r="A206" s="5" t="s">
        <v>3198</v>
      </c>
      <c r="B206" s="5" t="s">
        <v>3199</v>
      </c>
      <c r="C206" s="5" t="s">
        <v>3200</v>
      </c>
      <c r="D206" s="5" t="s">
        <v>17</v>
      </c>
      <c r="E206" s="5" t="s">
        <v>19</v>
      </c>
      <c r="F206" s="5" t="s">
        <v>29</v>
      </c>
      <c r="G206" s="5" t="s">
        <v>395</v>
      </c>
      <c r="H206" s="5" t="s">
        <v>395</v>
      </c>
      <c r="I206" s="5"/>
      <c r="J206" s="5" t="s">
        <v>1086</v>
      </c>
      <c r="K206" s="5" t="s">
        <v>188</v>
      </c>
      <c r="L206" s="7">
        <v>45873</v>
      </c>
      <c r="M206" s="7">
        <v>46066</v>
      </c>
      <c r="N206" s="10" t="s">
        <v>2485</v>
      </c>
      <c r="O206" s="5" t="s">
        <v>2494</v>
      </c>
      <c r="P206" s="5" t="s">
        <v>2996</v>
      </c>
      <c r="Q206" s="6" t="s">
        <v>76</v>
      </c>
      <c r="R206" s="6" t="s">
        <v>18</v>
      </c>
      <c r="S206" s="6" t="s">
        <v>2475</v>
      </c>
    </row>
    <row r="207" spans="1:19" x14ac:dyDescent="0.35">
      <c r="A207" s="5" t="s">
        <v>3201</v>
      </c>
      <c r="B207" s="5" t="s">
        <v>3202</v>
      </c>
      <c r="C207" s="5" t="s">
        <v>3203</v>
      </c>
      <c r="D207" s="5" t="s">
        <v>17</v>
      </c>
      <c r="E207" s="5" t="s">
        <v>156</v>
      </c>
      <c r="F207" s="5" t="s">
        <v>241</v>
      </c>
      <c r="G207" s="5" t="s">
        <v>242</v>
      </c>
      <c r="H207" s="5" t="s">
        <v>242</v>
      </c>
      <c r="I207" s="5" t="s">
        <v>282</v>
      </c>
      <c r="J207" s="5" t="s">
        <v>3204</v>
      </c>
      <c r="K207" s="5" t="s">
        <v>426</v>
      </c>
      <c r="L207" s="7">
        <v>45875</v>
      </c>
      <c r="M207" s="7">
        <v>46054</v>
      </c>
      <c r="N207" s="10" t="s">
        <v>2485</v>
      </c>
      <c r="O207" s="5" t="s">
        <v>2486</v>
      </c>
      <c r="P207" s="5" t="s">
        <v>2581</v>
      </c>
      <c r="Q207" s="6"/>
      <c r="R207" s="6"/>
      <c r="S207" s="52" t="s">
        <v>2582</v>
      </c>
    </row>
    <row r="208" spans="1:19" x14ac:dyDescent="0.35">
      <c r="A208" s="5" t="s">
        <v>3205</v>
      </c>
      <c r="B208" s="5" t="s">
        <v>3206</v>
      </c>
      <c r="C208" s="5" t="s">
        <v>3207</v>
      </c>
      <c r="D208" s="5" t="s">
        <v>17</v>
      </c>
      <c r="E208" s="5" t="s">
        <v>156</v>
      </c>
      <c r="F208" s="5" t="s">
        <v>241</v>
      </c>
      <c r="G208" s="5" t="s">
        <v>242</v>
      </c>
      <c r="H208" s="5" t="s">
        <v>242</v>
      </c>
      <c r="I208" s="5" t="s">
        <v>1026</v>
      </c>
      <c r="J208" s="5" t="s">
        <v>3208</v>
      </c>
      <c r="K208" s="5" t="s">
        <v>426</v>
      </c>
      <c r="L208" s="7">
        <v>45887</v>
      </c>
      <c r="M208" s="7">
        <v>46114</v>
      </c>
      <c r="N208" s="10" t="s">
        <v>683</v>
      </c>
      <c r="O208" s="5" t="s">
        <v>2486</v>
      </c>
      <c r="P208" s="5" t="s">
        <v>2693</v>
      </c>
      <c r="Q208" s="6"/>
      <c r="R208" s="6"/>
      <c r="S208" s="6" t="s">
        <v>2515</v>
      </c>
    </row>
    <row r="209" spans="1:19" x14ac:dyDescent="0.35">
      <c r="A209" s="5" t="s">
        <v>3209</v>
      </c>
      <c r="B209" s="5" t="s">
        <v>3210</v>
      </c>
      <c r="C209" s="5" t="s">
        <v>3211</v>
      </c>
      <c r="D209" s="5" t="s">
        <v>17</v>
      </c>
      <c r="E209" s="5" t="s">
        <v>626</v>
      </c>
      <c r="F209" s="5" t="s">
        <v>241</v>
      </c>
      <c r="G209" s="5" t="s">
        <v>242</v>
      </c>
      <c r="H209" s="5" t="s">
        <v>242</v>
      </c>
      <c r="I209" s="5" t="s">
        <v>468</v>
      </c>
      <c r="J209" s="5" t="s">
        <v>2917</v>
      </c>
      <c r="K209" s="5" t="s">
        <v>470</v>
      </c>
      <c r="L209" s="7">
        <v>45889</v>
      </c>
      <c r="M209" s="7">
        <v>46225</v>
      </c>
      <c r="N209" s="10" t="s">
        <v>2493</v>
      </c>
      <c r="O209" s="5" t="s">
        <v>2486</v>
      </c>
      <c r="P209" s="5" t="s">
        <v>2693</v>
      </c>
      <c r="Q209" s="6"/>
      <c r="R209" s="6"/>
      <c r="S209" s="6" t="s">
        <v>2515</v>
      </c>
    </row>
    <row r="210" spans="1:19" x14ac:dyDescent="0.35">
      <c r="A210" s="5" t="s">
        <v>3212</v>
      </c>
      <c r="B210" s="5" t="s">
        <v>3213</v>
      </c>
      <c r="C210" s="5" t="s">
        <v>3214</v>
      </c>
      <c r="D210" s="5" t="s">
        <v>17</v>
      </c>
      <c r="E210" s="5" t="s">
        <v>19</v>
      </c>
      <c r="F210" s="5" t="s">
        <v>241</v>
      </c>
      <c r="G210" s="5" t="s">
        <v>242</v>
      </c>
      <c r="H210" s="5" t="s">
        <v>242</v>
      </c>
      <c r="I210" s="5" t="s">
        <v>138</v>
      </c>
      <c r="J210" s="5" t="s">
        <v>2267</v>
      </c>
      <c r="K210" s="5" t="s">
        <v>426</v>
      </c>
      <c r="L210" s="7">
        <v>45894</v>
      </c>
      <c r="M210" s="7">
        <v>46065</v>
      </c>
      <c r="N210" s="10" t="s">
        <v>2485</v>
      </c>
      <c r="O210" s="5" t="s">
        <v>2486</v>
      </c>
      <c r="P210" s="5" t="s">
        <v>2547</v>
      </c>
      <c r="Q210" s="6"/>
      <c r="R210" s="6"/>
      <c r="S210" s="52" t="s">
        <v>2488</v>
      </c>
    </row>
    <row r="211" spans="1:19" x14ac:dyDescent="0.35">
      <c r="A211" s="5" t="s">
        <v>3215</v>
      </c>
      <c r="B211" s="5" t="s">
        <v>3216</v>
      </c>
      <c r="C211" s="5" t="s">
        <v>3217</v>
      </c>
      <c r="D211" s="5" t="s">
        <v>17</v>
      </c>
      <c r="E211" s="5" t="s">
        <v>156</v>
      </c>
      <c r="F211" s="5" t="s">
        <v>241</v>
      </c>
      <c r="G211" s="5" t="s">
        <v>242</v>
      </c>
      <c r="H211" s="5" t="s">
        <v>242</v>
      </c>
      <c r="I211" s="5" t="s">
        <v>282</v>
      </c>
      <c r="J211" s="5" t="s">
        <v>3218</v>
      </c>
      <c r="K211" s="5" t="s">
        <v>426</v>
      </c>
      <c r="L211" s="7">
        <v>45894</v>
      </c>
      <c r="M211" s="7">
        <v>46053</v>
      </c>
      <c r="N211" s="10" t="s">
        <v>2485</v>
      </c>
      <c r="O211" s="5" t="s">
        <v>2486</v>
      </c>
      <c r="P211" s="5" t="s">
        <v>2581</v>
      </c>
      <c r="Q211" s="6"/>
      <c r="R211" s="6"/>
      <c r="S211" s="52" t="s">
        <v>2582</v>
      </c>
    </row>
    <row r="212" spans="1:19" x14ac:dyDescent="0.35">
      <c r="A212" s="5" t="s">
        <v>3219</v>
      </c>
      <c r="B212" s="5" t="s">
        <v>3220</v>
      </c>
      <c r="C212" s="5" t="s">
        <v>3221</v>
      </c>
      <c r="D212" s="5" t="s">
        <v>17</v>
      </c>
      <c r="E212" s="5" t="s">
        <v>19</v>
      </c>
      <c r="F212" s="5" t="s">
        <v>241</v>
      </c>
      <c r="G212" s="5" t="s">
        <v>242</v>
      </c>
      <c r="H212" s="5" t="s">
        <v>242</v>
      </c>
      <c r="I212" s="5" t="s">
        <v>702</v>
      </c>
      <c r="J212" s="5" t="s">
        <v>869</v>
      </c>
      <c r="K212" s="5" t="s">
        <v>470</v>
      </c>
      <c r="L212" s="7">
        <v>45894</v>
      </c>
      <c r="M212" s="7">
        <v>46162</v>
      </c>
      <c r="N212" s="10" t="s">
        <v>683</v>
      </c>
      <c r="O212" s="5" t="s">
        <v>2486</v>
      </c>
      <c r="P212" s="5" t="s">
        <v>2581</v>
      </c>
      <c r="Q212" s="6"/>
      <c r="R212" s="6"/>
      <c r="S212" s="52" t="s">
        <v>2582</v>
      </c>
    </row>
    <row r="213" spans="1:19" x14ac:dyDescent="0.35">
      <c r="A213" s="5" t="s">
        <v>3222</v>
      </c>
      <c r="B213" s="5" t="s">
        <v>3223</v>
      </c>
      <c r="C213" s="5" t="s">
        <v>3224</v>
      </c>
      <c r="D213" s="5" t="s">
        <v>28</v>
      </c>
      <c r="E213" s="5" t="s">
        <v>130</v>
      </c>
      <c r="F213" s="5" t="s">
        <v>241</v>
      </c>
      <c r="G213" s="5" t="s">
        <v>242</v>
      </c>
      <c r="H213" s="5" t="s">
        <v>242</v>
      </c>
      <c r="I213" s="5" t="s">
        <v>39</v>
      </c>
      <c r="J213" s="5" t="s">
        <v>3225</v>
      </c>
      <c r="K213" s="5" t="s">
        <v>470</v>
      </c>
      <c r="L213" s="7">
        <v>45904</v>
      </c>
      <c r="M213" s="7">
        <v>46037</v>
      </c>
      <c r="N213" s="10" t="s">
        <v>2485</v>
      </c>
      <c r="O213" s="5" t="s">
        <v>2486</v>
      </c>
      <c r="P213" s="5" t="s">
        <v>2581</v>
      </c>
      <c r="Q213" s="6"/>
      <c r="R213" s="6"/>
      <c r="S213" s="52" t="s">
        <v>2582</v>
      </c>
    </row>
    <row r="214" spans="1:19" x14ac:dyDescent="0.35">
      <c r="A214" s="5" t="s">
        <v>3226</v>
      </c>
      <c r="B214" s="5" t="s">
        <v>3227</v>
      </c>
      <c r="C214" s="5" t="s">
        <v>3228</v>
      </c>
      <c r="D214" s="5" t="s">
        <v>17</v>
      </c>
      <c r="E214" s="5" t="s">
        <v>19</v>
      </c>
      <c r="F214" s="5" t="s">
        <v>241</v>
      </c>
      <c r="G214" s="5" t="s">
        <v>242</v>
      </c>
      <c r="H214" s="5" t="s">
        <v>242</v>
      </c>
      <c r="I214" s="5" t="s">
        <v>1026</v>
      </c>
      <c r="J214" s="5" t="s">
        <v>3229</v>
      </c>
      <c r="K214" s="5" t="s">
        <v>426</v>
      </c>
      <c r="L214" s="7">
        <v>45901</v>
      </c>
      <c r="M214" s="7">
        <v>46258</v>
      </c>
      <c r="N214" s="10" t="s">
        <v>2493</v>
      </c>
      <c r="O214" s="5" t="s">
        <v>2486</v>
      </c>
      <c r="P214" s="5" t="s">
        <v>2581</v>
      </c>
      <c r="Q214" s="6"/>
      <c r="R214" s="6"/>
      <c r="S214" s="52" t="s">
        <v>2582</v>
      </c>
    </row>
    <row r="215" spans="1:19" x14ac:dyDescent="0.35">
      <c r="A215" s="5" t="s">
        <v>3230</v>
      </c>
      <c r="B215" s="5" t="s">
        <v>3231</v>
      </c>
      <c r="C215" s="5" t="s">
        <v>3232</v>
      </c>
      <c r="D215" s="5" t="s">
        <v>17</v>
      </c>
      <c r="E215" s="5" t="s">
        <v>19</v>
      </c>
      <c r="F215" s="5" t="s">
        <v>29</v>
      </c>
      <c r="G215" s="5" t="s">
        <v>395</v>
      </c>
      <c r="H215" s="5" t="s">
        <v>395</v>
      </c>
      <c r="I215" s="5"/>
      <c r="J215" s="5" t="s">
        <v>3233</v>
      </c>
      <c r="K215" s="5" t="s">
        <v>927</v>
      </c>
      <c r="L215" s="7">
        <v>45908</v>
      </c>
      <c r="M215" s="7">
        <v>46203</v>
      </c>
      <c r="N215" s="10" t="s">
        <v>683</v>
      </c>
      <c r="O215" s="5" t="s">
        <v>2486</v>
      </c>
      <c r="P215" s="5" t="s">
        <v>2514</v>
      </c>
      <c r="Q215" s="6" t="s">
        <v>620</v>
      </c>
      <c r="R215" s="6" t="s">
        <v>18</v>
      </c>
      <c r="S215" s="6" t="s">
        <v>2515</v>
      </c>
    </row>
    <row r="216" spans="1:19" x14ac:dyDescent="0.35">
      <c r="A216" s="5" t="s">
        <v>3234</v>
      </c>
      <c r="B216" s="5" t="s">
        <v>3235</v>
      </c>
      <c r="C216" s="5" t="s">
        <v>3236</v>
      </c>
      <c r="D216" s="5" t="s">
        <v>28</v>
      </c>
      <c r="E216" s="5" t="s">
        <v>19</v>
      </c>
      <c r="F216" s="5" t="s">
        <v>241</v>
      </c>
      <c r="G216" s="5" t="s">
        <v>242</v>
      </c>
      <c r="H216" s="5" t="s">
        <v>242</v>
      </c>
      <c r="I216" s="5" t="s">
        <v>282</v>
      </c>
      <c r="J216" s="5" t="s">
        <v>3237</v>
      </c>
      <c r="K216" s="5" t="s">
        <v>426</v>
      </c>
      <c r="L216" s="7">
        <v>45908</v>
      </c>
      <c r="M216" s="7">
        <v>46041</v>
      </c>
      <c r="N216" s="10" t="s">
        <v>2485</v>
      </c>
      <c r="O216" s="5" t="s">
        <v>2494</v>
      </c>
      <c r="P216" s="5" t="s">
        <v>2573</v>
      </c>
      <c r="Q216" s="6"/>
      <c r="R216" s="6"/>
      <c r="S216" s="52" t="s">
        <v>2488</v>
      </c>
    </row>
    <row r="217" spans="1:19" x14ac:dyDescent="0.35">
      <c r="A217" s="5" t="s">
        <v>3238</v>
      </c>
      <c r="B217" s="5" t="s">
        <v>3239</v>
      </c>
      <c r="C217" s="5" t="s">
        <v>3240</v>
      </c>
      <c r="D217" s="5" t="s">
        <v>28</v>
      </c>
      <c r="E217" s="5" t="s">
        <v>19</v>
      </c>
      <c r="F217" s="5" t="s">
        <v>20</v>
      </c>
      <c r="G217" s="5" t="s">
        <v>20</v>
      </c>
      <c r="H217" s="5" t="s">
        <v>20</v>
      </c>
      <c r="I217" s="5" t="s">
        <v>157</v>
      </c>
      <c r="J217" s="5" t="s">
        <v>1057</v>
      </c>
      <c r="K217" s="5" t="s">
        <v>272</v>
      </c>
      <c r="L217" s="7">
        <v>45915</v>
      </c>
      <c r="M217" s="7">
        <v>46066</v>
      </c>
      <c r="N217" s="10" t="s">
        <v>2485</v>
      </c>
      <c r="O217" s="5" t="s">
        <v>2494</v>
      </c>
      <c r="P217" s="5" t="s">
        <v>2499</v>
      </c>
      <c r="Q217" s="6"/>
      <c r="R217" s="6"/>
      <c r="S217" s="6" t="s">
        <v>2473</v>
      </c>
    </row>
    <row r="218" spans="1:19" x14ac:dyDescent="0.35">
      <c r="A218" s="5" t="s">
        <v>3241</v>
      </c>
      <c r="B218" s="5" t="s">
        <v>3242</v>
      </c>
      <c r="C218" s="5" t="s">
        <v>3243</v>
      </c>
      <c r="D218" s="5" t="s">
        <v>17</v>
      </c>
      <c r="E218" s="5" t="s">
        <v>19</v>
      </c>
      <c r="F218" s="5" t="s">
        <v>29</v>
      </c>
      <c r="G218" s="5" t="s">
        <v>395</v>
      </c>
      <c r="H218" s="5" t="s">
        <v>395</v>
      </c>
      <c r="I218" s="5"/>
      <c r="J218" s="5" t="s">
        <v>3244</v>
      </c>
      <c r="K218" s="5" t="s">
        <v>1117</v>
      </c>
      <c r="L218" s="7">
        <v>45922</v>
      </c>
      <c r="M218" s="7">
        <v>46127</v>
      </c>
      <c r="N218" s="10" t="s">
        <v>683</v>
      </c>
      <c r="O218" s="5" t="s">
        <v>2494</v>
      </c>
      <c r="P218" s="5" t="s">
        <v>2573</v>
      </c>
      <c r="Q218" s="6" t="s">
        <v>807</v>
      </c>
      <c r="R218" s="6" t="s">
        <v>18</v>
      </c>
      <c r="S218" s="6" t="s">
        <v>3245</v>
      </c>
    </row>
    <row r="219" spans="1:19" x14ac:dyDescent="0.35">
      <c r="A219" s="5" t="s">
        <v>3246</v>
      </c>
      <c r="B219" s="5" t="s">
        <v>3247</v>
      </c>
      <c r="C219" s="5" t="s">
        <v>3248</v>
      </c>
      <c r="D219" s="5" t="s">
        <v>17</v>
      </c>
      <c r="E219" s="5" t="s">
        <v>130</v>
      </c>
      <c r="F219" s="5" t="s">
        <v>241</v>
      </c>
      <c r="G219" s="5" t="s">
        <v>242</v>
      </c>
      <c r="H219" s="5" t="s">
        <v>242</v>
      </c>
      <c r="I219" s="5" t="s">
        <v>138</v>
      </c>
      <c r="J219" s="5" t="s">
        <v>1238</v>
      </c>
      <c r="K219" s="5" t="s">
        <v>426</v>
      </c>
      <c r="L219" s="7">
        <v>45924</v>
      </c>
      <c r="M219" s="7">
        <v>46218</v>
      </c>
      <c r="N219" s="10" t="s">
        <v>2493</v>
      </c>
      <c r="O219" s="5" t="s">
        <v>2486</v>
      </c>
      <c r="P219" s="5" t="s">
        <v>2581</v>
      </c>
      <c r="Q219" s="6"/>
      <c r="R219" s="6"/>
      <c r="S219" s="52" t="s">
        <v>2582</v>
      </c>
    </row>
    <row r="220" spans="1:19" x14ac:dyDescent="0.35">
      <c r="A220" s="5" t="s">
        <v>3249</v>
      </c>
      <c r="B220" s="5" t="s">
        <v>3250</v>
      </c>
      <c r="C220" s="5" t="s">
        <v>3251</v>
      </c>
      <c r="D220" s="5" t="s">
        <v>17</v>
      </c>
      <c r="E220" s="5" t="s">
        <v>19</v>
      </c>
      <c r="F220" s="5" t="s">
        <v>29</v>
      </c>
      <c r="G220" s="5" t="s">
        <v>395</v>
      </c>
      <c r="H220" s="5" t="s">
        <v>395</v>
      </c>
      <c r="I220" s="5"/>
      <c r="J220" s="5" t="s">
        <v>506</v>
      </c>
      <c r="K220" s="5" t="s">
        <v>389</v>
      </c>
      <c r="L220" s="7">
        <v>45936</v>
      </c>
      <c r="M220" s="7">
        <v>46283</v>
      </c>
      <c r="N220" s="10" t="s">
        <v>2493</v>
      </c>
      <c r="O220" s="5" t="s">
        <v>2486</v>
      </c>
      <c r="P220" s="5" t="s">
        <v>2514</v>
      </c>
      <c r="Q220" s="6" t="s">
        <v>2529</v>
      </c>
      <c r="R220" s="6" t="s">
        <v>18</v>
      </c>
      <c r="S220" s="6" t="s">
        <v>2515</v>
      </c>
    </row>
    <row r="221" spans="1:19" x14ac:dyDescent="0.35">
      <c r="A221" s="5" t="s">
        <v>3252</v>
      </c>
      <c r="B221" s="5" t="s">
        <v>3253</v>
      </c>
      <c r="C221" s="5" t="s">
        <v>3254</v>
      </c>
      <c r="D221" s="5" t="s">
        <v>28</v>
      </c>
      <c r="E221" s="5" t="s">
        <v>74</v>
      </c>
      <c r="F221" s="5" t="s">
        <v>241</v>
      </c>
      <c r="G221" s="5" t="s">
        <v>242</v>
      </c>
      <c r="H221" s="5" t="s">
        <v>242</v>
      </c>
      <c r="I221" s="5" t="s">
        <v>702</v>
      </c>
      <c r="J221" s="5" t="s">
        <v>3255</v>
      </c>
      <c r="K221" s="5" t="s">
        <v>470</v>
      </c>
      <c r="L221" s="7">
        <v>45929</v>
      </c>
      <c r="M221" s="7">
        <v>46295</v>
      </c>
      <c r="N221" s="10" t="s">
        <v>2493</v>
      </c>
      <c r="O221" s="5" t="s">
        <v>2486</v>
      </c>
      <c r="P221" s="5" t="s">
        <v>2581</v>
      </c>
      <c r="Q221" s="6"/>
      <c r="R221" s="6"/>
      <c r="S221" s="52" t="s">
        <v>2582</v>
      </c>
    </row>
    <row r="222" spans="1:19" x14ac:dyDescent="0.35">
      <c r="A222" s="5" t="s">
        <v>3256</v>
      </c>
      <c r="B222" s="5" t="s">
        <v>3257</v>
      </c>
      <c r="C222" s="5" t="s">
        <v>3258</v>
      </c>
      <c r="D222" s="5" t="s">
        <v>17</v>
      </c>
      <c r="E222" s="5" t="s">
        <v>19</v>
      </c>
      <c r="F222" s="5" t="s">
        <v>241</v>
      </c>
      <c r="G222" s="5" t="s">
        <v>242</v>
      </c>
      <c r="H222" s="5" t="s">
        <v>242</v>
      </c>
      <c r="I222" s="5" t="s">
        <v>138</v>
      </c>
      <c r="J222" s="5" t="s">
        <v>811</v>
      </c>
      <c r="K222" s="5" t="s">
        <v>426</v>
      </c>
      <c r="L222" s="7">
        <v>45924</v>
      </c>
      <c r="M222" s="7">
        <v>46129</v>
      </c>
      <c r="N222" s="10" t="s">
        <v>683</v>
      </c>
      <c r="O222" s="5" t="s">
        <v>2486</v>
      </c>
      <c r="P222" s="5" t="s">
        <v>2581</v>
      </c>
      <c r="Q222" s="6"/>
      <c r="R222" s="6"/>
      <c r="S222" s="52" t="s">
        <v>2582</v>
      </c>
    </row>
    <row r="223" spans="1:19" x14ac:dyDescent="0.35">
      <c r="A223" s="5" t="s">
        <v>3259</v>
      </c>
      <c r="B223" s="5" t="s">
        <v>3260</v>
      </c>
      <c r="C223" s="5" t="s">
        <v>3261</v>
      </c>
      <c r="D223" s="5" t="s">
        <v>28</v>
      </c>
      <c r="E223" s="5" t="s">
        <v>19</v>
      </c>
      <c r="F223" s="5" t="s">
        <v>241</v>
      </c>
      <c r="G223" s="5" t="s">
        <v>242</v>
      </c>
      <c r="H223" s="5" t="s">
        <v>242</v>
      </c>
      <c r="I223" s="5" t="s">
        <v>683</v>
      </c>
      <c r="J223" s="5" t="s">
        <v>3262</v>
      </c>
      <c r="K223" s="5" t="s">
        <v>426</v>
      </c>
      <c r="L223" s="7">
        <v>45929</v>
      </c>
      <c r="M223" s="7">
        <v>46069</v>
      </c>
      <c r="N223" s="10" t="s">
        <v>2485</v>
      </c>
      <c r="O223" s="5" t="s">
        <v>2486</v>
      </c>
      <c r="P223" s="5" t="s">
        <v>2581</v>
      </c>
      <c r="Q223" s="6"/>
      <c r="R223" s="6"/>
      <c r="S223" s="52" t="s">
        <v>2582</v>
      </c>
    </row>
    <row r="224" spans="1:19" x14ac:dyDescent="0.35">
      <c r="A224" s="5" t="s">
        <v>3263</v>
      </c>
      <c r="B224" s="5" t="s">
        <v>3264</v>
      </c>
      <c r="C224" s="5" t="s">
        <v>3265</v>
      </c>
      <c r="D224" s="5" t="s">
        <v>17</v>
      </c>
      <c r="E224" s="5" t="s">
        <v>19</v>
      </c>
      <c r="F224" s="5" t="s">
        <v>241</v>
      </c>
      <c r="G224" s="5" t="s">
        <v>242</v>
      </c>
      <c r="H224" s="5" t="s">
        <v>242</v>
      </c>
      <c r="I224" s="5" t="s">
        <v>282</v>
      </c>
      <c r="J224" s="5" t="s">
        <v>2836</v>
      </c>
      <c r="K224" s="5" t="s">
        <v>426</v>
      </c>
      <c r="L224" s="7">
        <v>45929</v>
      </c>
      <c r="M224" s="7">
        <v>46048</v>
      </c>
      <c r="N224" s="10" t="s">
        <v>2485</v>
      </c>
      <c r="O224" s="5" t="s">
        <v>2486</v>
      </c>
      <c r="P224" s="5" t="s">
        <v>2581</v>
      </c>
      <c r="Q224" s="6"/>
      <c r="R224" s="6"/>
      <c r="S224" s="52" t="s">
        <v>2582</v>
      </c>
    </row>
    <row r="225" spans="1:19" x14ac:dyDescent="0.35">
      <c r="A225" s="5" t="s">
        <v>3266</v>
      </c>
      <c r="B225" s="5" t="s">
        <v>3267</v>
      </c>
      <c r="C225" s="5" t="s">
        <v>3268</v>
      </c>
      <c r="D225" s="5" t="s">
        <v>17</v>
      </c>
      <c r="E225" s="5" t="s">
        <v>19</v>
      </c>
      <c r="F225" s="5" t="s">
        <v>241</v>
      </c>
      <c r="G225" s="5" t="s">
        <v>242</v>
      </c>
      <c r="H225" s="5" t="s">
        <v>242</v>
      </c>
      <c r="I225" s="5" t="s">
        <v>138</v>
      </c>
      <c r="J225" s="5" t="s">
        <v>811</v>
      </c>
      <c r="K225" s="5" t="s">
        <v>426</v>
      </c>
      <c r="L225" s="7">
        <v>45929</v>
      </c>
      <c r="M225" s="7">
        <v>46074</v>
      </c>
      <c r="N225" s="10" t="s">
        <v>2485</v>
      </c>
      <c r="O225" s="5" t="s">
        <v>2486</v>
      </c>
      <c r="P225" s="5" t="s">
        <v>2547</v>
      </c>
      <c r="Q225" s="6"/>
      <c r="R225" s="6"/>
      <c r="S225" s="52" t="s">
        <v>2488</v>
      </c>
    </row>
    <row r="226" spans="1:19" x14ac:dyDescent="0.35">
      <c r="A226" s="5" t="s">
        <v>3269</v>
      </c>
      <c r="B226" s="5" t="s">
        <v>3270</v>
      </c>
      <c r="C226" s="5" t="s">
        <v>3271</v>
      </c>
      <c r="D226" s="5" t="s">
        <v>17</v>
      </c>
      <c r="E226" s="5" t="s">
        <v>19</v>
      </c>
      <c r="F226" s="5" t="s">
        <v>241</v>
      </c>
      <c r="G226" s="5" t="s">
        <v>242</v>
      </c>
      <c r="H226" s="5" t="s">
        <v>242</v>
      </c>
      <c r="I226" s="5" t="s">
        <v>138</v>
      </c>
      <c r="J226" s="5" t="s">
        <v>3272</v>
      </c>
      <c r="K226" s="5" t="s">
        <v>426</v>
      </c>
      <c r="L226" s="7">
        <v>45929</v>
      </c>
      <c r="M226" s="7">
        <v>46197</v>
      </c>
      <c r="N226" s="10" t="s">
        <v>683</v>
      </c>
      <c r="O226" s="5" t="s">
        <v>2486</v>
      </c>
      <c r="P226" s="5" t="s">
        <v>2845</v>
      </c>
      <c r="Q226" s="6"/>
      <c r="R226" s="6"/>
      <c r="S226" s="6" t="s">
        <v>2515</v>
      </c>
    </row>
    <row r="227" spans="1:19" x14ac:dyDescent="0.35">
      <c r="A227" s="5" t="s">
        <v>3273</v>
      </c>
      <c r="B227" s="5" t="s">
        <v>3274</v>
      </c>
      <c r="C227" s="5" t="s">
        <v>3275</v>
      </c>
      <c r="D227" s="5" t="s">
        <v>28</v>
      </c>
      <c r="E227" s="5" t="s">
        <v>19</v>
      </c>
      <c r="F227" s="5" t="s">
        <v>241</v>
      </c>
      <c r="G227" s="5" t="s">
        <v>242</v>
      </c>
      <c r="H227" s="5" t="s">
        <v>242</v>
      </c>
      <c r="I227" s="5" t="s">
        <v>138</v>
      </c>
      <c r="J227" s="5" t="s">
        <v>3276</v>
      </c>
      <c r="K227" s="5" t="s">
        <v>426</v>
      </c>
      <c r="L227" s="7">
        <v>45930</v>
      </c>
      <c r="M227" s="7">
        <v>46191</v>
      </c>
      <c r="N227" s="10" t="s">
        <v>683</v>
      </c>
      <c r="O227" s="5" t="s">
        <v>2486</v>
      </c>
      <c r="P227" s="5" t="s">
        <v>2581</v>
      </c>
      <c r="Q227" s="6"/>
      <c r="R227" s="6"/>
      <c r="S227" s="52" t="s">
        <v>2582</v>
      </c>
    </row>
    <row r="228" spans="1:19" x14ac:dyDescent="0.35">
      <c r="A228" s="5" t="s">
        <v>3277</v>
      </c>
      <c r="B228" s="5" t="s">
        <v>3278</v>
      </c>
      <c r="C228" s="5" t="s">
        <v>3279</v>
      </c>
      <c r="D228" s="5" t="s">
        <v>28</v>
      </c>
      <c r="E228" s="5" t="s">
        <v>19</v>
      </c>
      <c r="F228" s="5" t="s">
        <v>241</v>
      </c>
      <c r="G228" s="5" t="s">
        <v>242</v>
      </c>
      <c r="H228" s="5" t="s">
        <v>242</v>
      </c>
      <c r="I228" s="5" t="s">
        <v>138</v>
      </c>
      <c r="J228" s="5" t="s">
        <v>3280</v>
      </c>
      <c r="K228" s="5" t="s">
        <v>426</v>
      </c>
      <c r="L228" s="7">
        <v>45929</v>
      </c>
      <c r="M228" s="7">
        <v>46191</v>
      </c>
      <c r="N228" s="10" t="s">
        <v>683</v>
      </c>
      <c r="O228" s="5" t="s">
        <v>2486</v>
      </c>
      <c r="P228" s="5" t="s">
        <v>2581</v>
      </c>
      <c r="Q228" s="6"/>
      <c r="R228" s="6"/>
      <c r="S228" s="52" t="s">
        <v>2582</v>
      </c>
    </row>
    <row r="229" spans="1:19" x14ac:dyDescent="0.35">
      <c r="A229" s="5" t="s">
        <v>3281</v>
      </c>
      <c r="B229" s="5" t="s">
        <v>3282</v>
      </c>
      <c r="C229" s="5" t="s">
        <v>3283</v>
      </c>
      <c r="D229" s="5" t="s">
        <v>28</v>
      </c>
      <c r="E229" s="5" t="s">
        <v>19</v>
      </c>
      <c r="F229" s="5" t="s">
        <v>37</v>
      </c>
      <c r="G229" s="53" t="s">
        <v>2476</v>
      </c>
      <c r="H229" s="31" t="s">
        <v>101</v>
      </c>
      <c r="I229" s="5"/>
      <c r="J229" s="5" t="s">
        <v>106</v>
      </c>
      <c r="K229" s="5" t="s">
        <v>35</v>
      </c>
      <c r="L229" s="7">
        <v>45936</v>
      </c>
      <c r="M229" s="7">
        <v>46122</v>
      </c>
      <c r="N229" s="10" t="s">
        <v>683</v>
      </c>
      <c r="O229" s="5" t="s">
        <v>2494</v>
      </c>
      <c r="P229" s="5" t="s">
        <v>2538</v>
      </c>
      <c r="Q229" s="6"/>
      <c r="R229" s="6"/>
      <c r="S229" s="6" t="s">
        <v>2473</v>
      </c>
    </row>
    <row r="230" spans="1:19" x14ac:dyDescent="0.35">
      <c r="A230" s="5" t="s">
        <v>3284</v>
      </c>
      <c r="B230" s="5" t="s">
        <v>3285</v>
      </c>
      <c r="C230" s="5" t="s">
        <v>3286</v>
      </c>
      <c r="D230" s="5" t="s">
        <v>17</v>
      </c>
      <c r="E230" s="5" t="s">
        <v>19</v>
      </c>
      <c r="F230" s="5" t="s">
        <v>241</v>
      </c>
      <c r="G230" s="5" t="s">
        <v>242</v>
      </c>
      <c r="H230" s="5" t="s">
        <v>242</v>
      </c>
      <c r="I230" s="5" t="s">
        <v>138</v>
      </c>
      <c r="J230" s="5" t="s">
        <v>3287</v>
      </c>
      <c r="K230" s="5" t="s">
        <v>426</v>
      </c>
      <c r="L230" s="7">
        <v>45930</v>
      </c>
      <c r="M230" s="7">
        <v>46045</v>
      </c>
      <c r="N230" s="10" t="s">
        <v>2485</v>
      </c>
      <c r="O230" s="5" t="s">
        <v>2486</v>
      </c>
      <c r="P230" s="5" t="s">
        <v>2581</v>
      </c>
      <c r="Q230" s="6"/>
      <c r="R230" s="6"/>
      <c r="S230" s="52" t="s">
        <v>2582</v>
      </c>
    </row>
    <row r="231" spans="1:19" x14ac:dyDescent="0.35">
      <c r="A231" s="5" t="s">
        <v>3288</v>
      </c>
      <c r="B231" s="5" t="s">
        <v>3289</v>
      </c>
      <c r="C231" s="5" t="s">
        <v>3290</v>
      </c>
      <c r="D231" s="5" t="s">
        <v>17</v>
      </c>
      <c r="E231" s="5" t="s">
        <v>19</v>
      </c>
      <c r="F231" s="5" t="s">
        <v>241</v>
      </c>
      <c r="G231" s="5" t="s">
        <v>242</v>
      </c>
      <c r="H231" s="5" t="s">
        <v>242</v>
      </c>
      <c r="I231" s="5" t="s">
        <v>138</v>
      </c>
      <c r="J231" s="5" t="s">
        <v>246</v>
      </c>
      <c r="K231" s="5" t="s">
        <v>426</v>
      </c>
      <c r="L231" s="7">
        <v>45931</v>
      </c>
      <c r="M231" s="7">
        <v>46234</v>
      </c>
      <c r="N231" s="10" t="s">
        <v>2493</v>
      </c>
      <c r="O231" s="5" t="s">
        <v>2486</v>
      </c>
      <c r="P231" s="5" t="s">
        <v>2581</v>
      </c>
      <c r="Q231" s="6"/>
      <c r="R231" s="6"/>
      <c r="S231" s="52" t="s">
        <v>2582</v>
      </c>
    </row>
    <row r="232" spans="1:19" x14ac:dyDescent="0.35">
      <c r="A232" s="5" t="s">
        <v>3291</v>
      </c>
      <c r="B232" s="5" t="s">
        <v>3292</v>
      </c>
      <c r="C232" s="5" t="s">
        <v>3293</v>
      </c>
      <c r="D232" s="5" t="s">
        <v>17</v>
      </c>
      <c r="E232" s="5" t="s">
        <v>626</v>
      </c>
      <c r="F232" s="5" t="s">
        <v>241</v>
      </c>
      <c r="G232" s="5" t="s">
        <v>242</v>
      </c>
      <c r="H232" s="5" t="s">
        <v>242</v>
      </c>
      <c r="I232" s="5" t="s">
        <v>468</v>
      </c>
      <c r="J232" s="5" t="s">
        <v>3294</v>
      </c>
      <c r="K232" s="5" t="s">
        <v>470</v>
      </c>
      <c r="L232" s="7">
        <v>45936</v>
      </c>
      <c r="M232" s="7">
        <v>46241</v>
      </c>
      <c r="N232" s="10" t="s">
        <v>2493</v>
      </c>
      <c r="O232" s="5" t="s">
        <v>2494</v>
      </c>
      <c r="P232" s="5" t="s">
        <v>2573</v>
      </c>
      <c r="Q232" s="6"/>
      <c r="R232" s="6"/>
      <c r="S232" s="52" t="s">
        <v>2488</v>
      </c>
    </row>
    <row r="233" spans="1:19" x14ac:dyDescent="0.35">
      <c r="A233" s="5" t="s">
        <v>3295</v>
      </c>
      <c r="B233" s="5" t="s">
        <v>3296</v>
      </c>
      <c r="C233" s="5" t="s">
        <v>3297</v>
      </c>
      <c r="D233" s="5" t="s">
        <v>17</v>
      </c>
      <c r="E233" s="5" t="s">
        <v>19</v>
      </c>
      <c r="F233" s="5" t="s">
        <v>241</v>
      </c>
      <c r="G233" s="5" t="s">
        <v>242</v>
      </c>
      <c r="H233" s="5" t="s">
        <v>242</v>
      </c>
      <c r="I233" s="5" t="s">
        <v>659</v>
      </c>
      <c r="J233" s="5" t="s">
        <v>3298</v>
      </c>
      <c r="K233" s="5" t="s">
        <v>470</v>
      </c>
      <c r="L233" s="7">
        <v>45945</v>
      </c>
      <c r="M233" s="7">
        <v>46122</v>
      </c>
      <c r="N233" s="10" t="s">
        <v>683</v>
      </c>
      <c r="O233" s="5" t="s">
        <v>2494</v>
      </c>
      <c r="P233" s="5" t="s">
        <v>2573</v>
      </c>
      <c r="Q233" s="6"/>
      <c r="R233" s="6"/>
      <c r="S233" s="52" t="s">
        <v>2488</v>
      </c>
    </row>
    <row r="234" spans="1:19" x14ac:dyDescent="0.35">
      <c r="A234" s="5" t="s">
        <v>3299</v>
      </c>
      <c r="B234" s="5" t="s">
        <v>3300</v>
      </c>
      <c r="C234" s="5" t="s">
        <v>3301</v>
      </c>
      <c r="D234" s="5" t="s">
        <v>17</v>
      </c>
      <c r="E234" s="5" t="s">
        <v>19</v>
      </c>
      <c r="F234" s="5" t="s">
        <v>29</v>
      </c>
      <c r="G234" s="5" t="s">
        <v>395</v>
      </c>
      <c r="H234" s="5" t="s">
        <v>395</v>
      </c>
      <c r="I234" s="5"/>
      <c r="J234" s="5" t="s">
        <v>3302</v>
      </c>
      <c r="K234" s="5" t="s">
        <v>927</v>
      </c>
      <c r="L234" s="7">
        <v>45973</v>
      </c>
      <c r="M234" s="7">
        <v>46136</v>
      </c>
      <c r="N234" s="10" t="s">
        <v>683</v>
      </c>
      <c r="O234" s="5" t="s">
        <v>2486</v>
      </c>
      <c r="P234" s="5" t="s">
        <v>2514</v>
      </c>
      <c r="Q234" s="6" t="s">
        <v>620</v>
      </c>
      <c r="R234" s="6" t="s">
        <v>18</v>
      </c>
      <c r="S234" s="6" t="s">
        <v>2515</v>
      </c>
    </row>
    <row r="235" spans="1:19" x14ac:dyDescent="0.35">
      <c r="A235" s="5" t="s">
        <v>3303</v>
      </c>
      <c r="B235" s="5" t="s">
        <v>3304</v>
      </c>
      <c r="C235" s="5" t="s">
        <v>3305</v>
      </c>
      <c r="D235" s="5" t="s">
        <v>17</v>
      </c>
      <c r="E235" s="5" t="s">
        <v>19</v>
      </c>
      <c r="F235" s="5" t="s">
        <v>29</v>
      </c>
      <c r="G235" s="5" t="s">
        <v>395</v>
      </c>
      <c r="H235" s="5" t="s">
        <v>395</v>
      </c>
      <c r="I235" s="5"/>
      <c r="J235" s="5" t="s">
        <v>1163</v>
      </c>
      <c r="K235" s="5" t="s">
        <v>927</v>
      </c>
      <c r="L235" s="7">
        <v>45961</v>
      </c>
      <c r="M235" s="7">
        <v>46178</v>
      </c>
      <c r="N235" s="10" t="s">
        <v>683</v>
      </c>
      <c r="O235" s="5" t="s">
        <v>2486</v>
      </c>
      <c r="P235" s="5" t="s">
        <v>2514</v>
      </c>
      <c r="Q235" s="6" t="s">
        <v>620</v>
      </c>
      <c r="R235" s="6" t="s">
        <v>18</v>
      </c>
      <c r="S235" s="6" t="s">
        <v>2515</v>
      </c>
    </row>
    <row r="236" spans="1:19" x14ac:dyDescent="0.35">
      <c r="A236" s="5" t="s">
        <v>3306</v>
      </c>
      <c r="B236" s="5" t="s">
        <v>3307</v>
      </c>
      <c r="C236" s="5" t="s">
        <v>3308</v>
      </c>
      <c r="D236" s="5" t="s">
        <v>28</v>
      </c>
      <c r="E236" s="5" t="s">
        <v>19</v>
      </c>
      <c r="F236" s="5" t="s">
        <v>29</v>
      </c>
      <c r="G236" s="5" t="s">
        <v>395</v>
      </c>
      <c r="H236" s="5" t="s">
        <v>395</v>
      </c>
      <c r="I236" s="5"/>
      <c r="J236" s="5" t="s">
        <v>1163</v>
      </c>
      <c r="K236" s="5" t="s">
        <v>927</v>
      </c>
      <c r="L236" s="7">
        <v>45961</v>
      </c>
      <c r="M236" s="7">
        <v>46142</v>
      </c>
      <c r="N236" s="10" t="s">
        <v>683</v>
      </c>
      <c r="O236" s="5" t="s">
        <v>2494</v>
      </c>
      <c r="P236" s="5" t="s">
        <v>2819</v>
      </c>
      <c r="Q236" s="6" t="s">
        <v>620</v>
      </c>
      <c r="R236" s="6" t="s">
        <v>18</v>
      </c>
      <c r="S236" s="6" t="s">
        <v>3245</v>
      </c>
    </row>
    <row r="237" spans="1:19" x14ac:dyDescent="0.35">
      <c r="A237" s="5" t="s">
        <v>3309</v>
      </c>
      <c r="B237" s="5" t="s">
        <v>3310</v>
      </c>
      <c r="C237" s="5" t="s">
        <v>3311</v>
      </c>
      <c r="D237" s="5" t="s">
        <v>17</v>
      </c>
      <c r="E237" s="5" t="s">
        <v>19</v>
      </c>
      <c r="F237" s="5" t="s">
        <v>241</v>
      </c>
      <c r="G237" s="5" t="s">
        <v>242</v>
      </c>
      <c r="H237" s="5" t="s">
        <v>242</v>
      </c>
      <c r="I237" s="5" t="s">
        <v>138</v>
      </c>
      <c r="J237" s="5" t="s">
        <v>2761</v>
      </c>
      <c r="K237" s="5" t="s">
        <v>426</v>
      </c>
      <c r="L237" s="7">
        <v>45947</v>
      </c>
      <c r="M237" s="7">
        <v>46234</v>
      </c>
      <c r="N237" s="10" t="s">
        <v>2493</v>
      </c>
      <c r="O237" s="5" t="s">
        <v>2486</v>
      </c>
      <c r="P237" s="5" t="s">
        <v>2581</v>
      </c>
      <c r="Q237" s="6"/>
      <c r="R237" s="6"/>
      <c r="S237" s="52" t="s">
        <v>2582</v>
      </c>
    </row>
    <row r="238" spans="1:19" x14ac:dyDescent="0.35">
      <c r="A238" s="5" t="s">
        <v>3312</v>
      </c>
      <c r="B238" s="5" t="s">
        <v>3313</v>
      </c>
      <c r="C238" s="5" t="s">
        <v>3314</v>
      </c>
      <c r="D238" s="5" t="s">
        <v>17</v>
      </c>
      <c r="E238" s="5" t="s">
        <v>19</v>
      </c>
      <c r="F238" s="5" t="s">
        <v>241</v>
      </c>
      <c r="G238" s="5" t="s">
        <v>242</v>
      </c>
      <c r="H238" s="5" t="s">
        <v>242</v>
      </c>
      <c r="I238" s="5" t="s">
        <v>138</v>
      </c>
      <c r="J238" s="5" t="s">
        <v>3315</v>
      </c>
      <c r="K238" s="5" t="s">
        <v>426</v>
      </c>
      <c r="L238" s="7">
        <v>45966</v>
      </c>
      <c r="M238" s="7">
        <v>46203</v>
      </c>
      <c r="N238" s="10" t="s">
        <v>683</v>
      </c>
      <c r="O238" s="5" t="s">
        <v>2486</v>
      </c>
      <c r="P238" s="5" t="s">
        <v>2581</v>
      </c>
      <c r="Q238" s="6"/>
      <c r="R238" s="6"/>
      <c r="S238" s="52" t="s">
        <v>2582</v>
      </c>
    </row>
    <row r="239" spans="1:19" x14ac:dyDescent="0.35">
      <c r="A239" s="5" t="s">
        <v>3316</v>
      </c>
      <c r="B239" s="5" t="s">
        <v>3317</v>
      </c>
      <c r="C239" s="5" t="s">
        <v>3318</v>
      </c>
      <c r="D239" s="5" t="s">
        <v>17</v>
      </c>
      <c r="E239" s="5" t="s">
        <v>1583</v>
      </c>
      <c r="F239" s="5" t="s">
        <v>241</v>
      </c>
      <c r="G239" s="5" t="s">
        <v>242</v>
      </c>
      <c r="H239" s="5" t="s">
        <v>242</v>
      </c>
      <c r="I239" s="5" t="s">
        <v>468</v>
      </c>
      <c r="J239" s="5" t="s">
        <v>3319</v>
      </c>
      <c r="K239" s="5" t="s">
        <v>470</v>
      </c>
      <c r="L239" s="7">
        <v>45981</v>
      </c>
      <c r="M239" s="7">
        <v>46101</v>
      </c>
      <c r="N239" s="10" t="s">
        <v>2485</v>
      </c>
      <c r="O239" s="5" t="s">
        <v>2486</v>
      </c>
      <c r="P239" s="5" t="s">
        <v>2487</v>
      </c>
      <c r="Q239" s="6"/>
      <c r="R239" s="6"/>
      <c r="S239" s="52" t="s">
        <v>2488</v>
      </c>
    </row>
    <row r="240" spans="1:19" x14ac:dyDescent="0.35">
      <c r="A240" s="5" t="s">
        <v>3320</v>
      </c>
      <c r="B240" s="5" t="s">
        <v>3321</v>
      </c>
      <c r="C240" s="5" t="s">
        <v>3322</v>
      </c>
      <c r="D240" s="5" t="s">
        <v>28</v>
      </c>
      <c r="E240" s="5" t="s">
        <v>19</v>
      </c>
      <c r="F240" s="5" t="s">
        <v>241</v>
      </c>
      <c r="G240" s="5" t="s">
        <v>242</v>
      </c>
      <c r="H240" s="5" t="s">
        <v>242</v>
      </c>
      <c r="I240" s="5" t="s">
        <v>138</v>
      </c>
      <c r="J240" s="5" t="s">
        <v>3323</v>
      </c>
      <c r="K240" s="5" t="s">
        <v>426</v>
      </c>
      <c r="L240" s="7">
        <v>45973</v>
      </c>
      <c r="M240" s="7">
        <v>46043</v>
      </c>
      <c r="N240" s="10" t="s">
        <v>2485</v>
      </c>
      <c r="O240" s="5" t="s">
        <v>2486</v>
      </c>
      <c r="P240" s="5" t="s">
        <v>2487</v>
      </c>
      <c r="Q240" s="6"/>
      <c r="R240" s="6"/>
      <c r="S240" s="52" t="s">
        <v>2488</v>
      </c>
    </row>
    <row r="241" spans="1:19" x14ac:dyDescent="0.35">
      <c r="A241" s="5" t="s">
        <v>1235</v>
      </c>
      <c r="B241" s="5" t="s">
        <v>1236</v>
      </c>
      <c r="C241" s="5" t="s">
        <v>1237</v>
      </c>
      <c r="D241" s="5" t="s">
        <v>17</v>
      </c>
      <c r="E241" s="5" t="s">
        <v>19</v>
      </c>
      <c r="F241" s="5" t="s">
        <v>29</v>
      </c>
      <c r="G241" s="5" t="s">
        <v>395</v>
      </c>
      <c r="H241" s="5" t="s">
        <v>395</v>
      </c>
      <c r="I241" s="5"/>
      <c r="J241" s="5" t="s">
        <v>1238</v>
      </c>
      <c r="K241" s="5" t="s">
        <v>188</v>
      </c>
      <c r="L241" s="7">
        <v>45992</v>
      </c>
      <c r="M241" s="7">
        <v>46304</v>
      </c>
      <c r="N241" s="10" t="s">
        <v>2777</v>
      </c>
      <c r="O241" s="5" t="s">
        <v>2486</v>
      </c>
      <c r="P241" s="5" t="s">
        <v>2514</v>
      </c>
      <c r="Q241" s="6" t="s">
        <v>2529</v>
      </c>
      <c r="R241" s="6" t="s">
        <v>18</v>
      </c>
      <c r="S241" s="6" t="s">
        <v>2515</v>
      </c>
    </row>
    <row r="242" spans="1:19" x14ac:dyDescent="0.35">
      <c r="A242" s="5" t="s">
        <v>3324</v>
      </c>
      <c r="B242" s="5" t="s">
        <v>3325</v>
      </c>
      <c r="C242" s="5" t="s">
        <v>3326</v>
      </c>
      <c r="D242" s="5" t="s">
        <v>28</v>
      </c>
      <c r="E242" s="5" t="s">
        <v>19</v>
      </c>
      <c r="F242" s="5" t="s">
        <v>29</v>
      </c>
      <c r="G242" s="5" t="s">
        <v>395</v>
      </c>
      <c r="H242" s="5" t="s">
        <v>395</v>
      </c>
      <c r="I242" s="5"/>
      <c r="J242" s="5" t="s">
        <v>1172</v>
      </c>
      <c r="K242" s="5" t="s">
        <v>181</v>
      </c>
      <c r="L242" s="7">
        <v>45992</v>
      </c>
      <c r="M242" s="7">
        <v>46129</v>
      </c>
      <c r="N242" s="10" t="s">
        <v>683</v>
      </c>
      <c r="O242" s="5" t="s">
        <v>2486</v>
      </c>
      <c r="P242" s="5" t="s">
        <v>2514</v>
      </c>
      <c r="Q242" s="6" t="s">
        <v>2529</v>
      </c>
      <c r="R242" s="6" t="s">
        <v>18</v>
      </c>
      <c r="S242" s="6" t="s">
        <v>2515</v>
      </c>
    </row>
    <row r="243" spans="1:19" x14ac:dyDescent="0.35">
      <c r="A243" s="5" t="s">
        <v>3327</v>
      </c>
      <c r="B243" s="5" t="s">
        <v>3328</v>
      </c>
      <c r="C243" s="5" t="s">
        <v>3329</v>
      </c>
      <c r="D243" s="5" t="s">
        <v>17</v>
      </c>
      <c r="E243" s="5" t="s">
        <v>19</v>
      </c>
      <c r="F243" s="5" t="s">
        <v>29</v>
      </c>
      <c r="G243" s="5" t="s">
        <v>395</v>
      </c>
      <c r="H243" s="5" t="s">
        <v>395</v>
      </c>
      <c r="I243" s="5"/>
      <c r="J243" s="5" t="s">
        <v>3330</v>
      </c>
      <c r="K243" s="5" t="s">
        <v>188</v>
      </c>
      <c r="L243" s="7">
        <v>46002</v>
      </c>
      <c r="M243" s="7">
        <v>46070</v>
      </c>
      <c r="N243" s="10" t="s">
        <v>2485</v>
      </c>
      <c r="O243" s="5" t="s">
        <v>2494</v>
      </c>
      <c r="P243" s="5" t="s">
        <v>2499</v>
      </c>
      <c r="Q243" s="6" t="s">
        <v>807</v>
      </c>
      <c r="R243" s="6" t="s">
        <v>18</v>
      </c>
      <c r="S243" s="6" t="s">
        <v>2475</v>
      </c>
    </row>
    <row r="244" spans="1:19" x14ac:dyDescent="0.35">
      <c r="A244" s="5" t="s">
        <v>3331</v>
      </c>
      <c r="B244" s="5" t="s">
        <v>3332</v>
      </c>
      <c r="C244" s="5" t="s">
        <v>3333</v>
      </c>
      <c r="D244" s="5" t="s">
        <v>17</v>
      </c>
      <c r="E244" s="5" t="s">
        <v>19</v>
      </c>
      <c r="F244" s="5" t="s">
        <v>29</v>
      </c>
      <c r="G244" s="5" t="s">
        <v>395</v>
      </c>
      <c r="H244" s="5" t="s">
        <v>395</v>
      </c>
      <c r="I244" s="5"/>
      <c r="J244" s="5" t="s">
        <v>3334</v>
      </c>
      <c r="K244" s="5" t="s">
        <v>188</v>
      </c>
      <c r="L244" s="7">
        <v>46006</v>
      </c>
      <c r="M244" s="7">
        <v>46059</v>
      </c>
      <c r="N244" s="10" t="s">
        <v>2485</v>
      </c>
      <c r="O244" s="5" t="s">
        <v>2486</v>
      </c>
      <c r="P244" s="5" t="s">
        <v>2547</v>
      </c>
      <c r="Q244" s="6" t="s">
        <v>807</v>
      </c>
      <c r="R244" s="6" t="s">
        <v>18</v>
      </c>
      <c r="S244" s="6" t="s">
        <v>2475</v>
      </c>
    </row>
    <row r="245" spans="1:19" x14ac:dyDescent="0.35">
      <c r="A245" s="5" t="s">
        <v>3335</v>
      </c>
      <c r="B245" s="5" t="s">
        <v>3336</v>
      </c>
      <c r="C245" s="5" t="s">
        <v>3337</v>
      </c>
      <c r="D245" s="5" t="s">
        <v>17</v>
      </c>
      <c r="E245" s="5" t="s">
        <v>225</v>
      </c>
      <c r="F245" s="5" t="s">
        <v>241</v>
      </c>
      <c r="G245" s="5" t="s">
        <v>242</v>
      </c>
      <c r="H245" s="5" t="s">
        <v>242</v>
      </c>
      <c r="I245" s="5" t="s">
        <v>76</v>
      </c>
      <c r="J245" s="5" t="s">
        <v>3338</v>
      </c>
      <c r="K245" s="5" t="s">
        <v>470</v>
      </c>
      <c r="L245" s="7">
        <v>46003</v>
      </c>
      <c r="M245" s="7">
        <v>46094</v>
      </c>
      <c r="N245" s="10" t="s">
        <v>2485</v>
      </c>
      <c r="O245" s="5" t="s">
        <v>2486</v>
      </c>
      <c r="P245" s="5" t="s">
        <v>2581</v>
      </c>
      <c r="Q245" s="6"/>
      <c r="R245" s="6"/>
      <c r="S245" s="52" t="s">
        <v>2582</v>
      </c>
    </row>
    <row r="246" spans="1:19" x14ac:dyDescent="0.35">
      <c r="A246" s="5" t="s">
        <v>3339</v>
      </c>
      <c r="B246" s="5" t="s">
        <v>3340</v>
      </c>
      <c r="C246" s="5" t="s">
        <v>3341</v>
      </c>
      <c r="D246" s="5" t="s">
        <v>17</v>
      </c>
      <c r="E246" s="5" t="s">
        <v>74</v>
      </c>
      <c r="F246" s="5" t="s">
        <v>241</v>
      </c>
      <c r="G246" s="5" t="s">
        <v>242</v>
      </c>
      <c r="H246" s="5" t="s">
        <v>242</v>
      </c>
      <c r="I246" s="5" t="s">
        <v>702</v>
      </c>
      <c r="J246" s="5" t="s">
        <v>3342</v>
      </c>
      <c r="K246" s="5" t="s">
        <v>470</v>
      </c>
      <c r="L246" s="7">
        <v>46006</v>
      </c>
      <c r="M246" s="7">
        <v>46234</v>
      </c>
      <c r="N246" s="10" t="s">
        <v>2493</v>
      </c>
      <c r="O246" s="5" t="s">
        <v>2494</v>
      </c>
      <c r="P246" s="5" t="s">
        <v>2573</v>
      </c>
      <c r="Q246" s="6"/>
      <c r="R246" s="6"/>
      <c r="S246" s="52" t="s">
        <v>2488</v>
      </c>
    </row>
    <row r="247" spans="1:19" x14ac:dyDescent="0.35">
      <c r="A247" s="5" t="s">
        <v>3343</v>
      </c>
      <c r="B247" s="5" t="s">
        <v>3344</v>
      </c>
      <c r="C247" s="5" t="s">
        <v>3345</v>
      </c>
      <c r="D247" s="5" t="s">
        <v>17</v>
      </c>
      <c r="E247" s="5" t="s">
        <v>19</v>
      </c>
      <c r="F247" s="5" t="s">
        <v>29</v>
      </c>
      <c r="G247" s="5" t="s">
        <v>395</v>
      </c>
      <c r="H247" s="5" t="s">
        <v>395</v>
      </c>
      <c r="I247" s="5"/>
      <c r="J247" s="5" t="s">
        <v>3346</v>
      </c>
      <c r="K247" s="5" t="s">
        <v>210</v>
      </c>
      <c r="L247" s="7">
        <v>46020</v>
      </c>
      <c r="M247" s="7">
        <v>46101</v>
      </c>
      <c r="N247" s="10" t="s">
        <v>2485</v>
      </c>
      <c r="O247" s="5" t="s">
        <v>2494</v>
      </c>
      <c r="P247" s="5" t="s">
        <v>2499</v>
      </c>
      <c r="Q247" s="6" t="s">
        <v>807</v>
      </c>
      <c r="R247" s="6" t="s">
        <v>18</v>
      </c>
      <c r="S247" s="6" t="s">
        <v>3245</v>
      </c>
    </row>
    <row r="248" spans="1:19" x14ac:dyDescent="0.35">
      <c r="A248" s="5" t="s">
        <v>3347</v>
      </c>
      <c r="B248" s="5" t="s">
        <v>3348</v>
      </c>
      <c r="C248" s="5" t="s">
        <v>3349</v>
      </c>
      <c r="D248" s="5" t="s">
        <v>28</v>
      </c>
      <c r="E248" s="5" t="s">
        <v>19</v>
      </c>
      <c r="F248" s="5" t="s">
        <v>29</v>
      </c>
      <c r="G248" s="5" t="s">
        <v>395</v>
      </c>
      <c r="H248" s="5" t="s">
        <v>395</v>
      </c>
      <c r="I248" s="5"/>
      <c r="J248" s="5" t="s">
        <v>1288</v>
      </c>
      <c r="K248" s="5" t="s">
        <v>1117</v>
      </c>
      <c r="L248" s="7">
        <v>46027</v>
      </c>
      <c r="M248" s="7">
        <v>46135</v>
      </c>
      <c r="N248" s="10" t="s">
        <v>683</v>
      </c>
      <c r="O248" s="5" t="s">
        <v>2486</v>
      </c>
      <c r="P248" s="5" t="s">
        <v>2547</v>
      </c>
      <c r="Q248" s="6" t="s">
        <v>807</v>
      </c>
      <c r="R248" s="6" t="s">
        <v>18</v>
      </c>
      <c r="S248" s="6" t="s">
        <v>2475</v>
      </c>
    </row>
    <row r="249" spans="1:19" x14ac:dyDescent="0.35">
      <c r="A249" s="5" t="s">
        <v>3350</v>
      </c>
      <c r="B249" s="5" t="s">
        <v>3351</v>
      </c>
      <c r="C249" s="5" t="s">
        <v>3352</v>
      </c>
      <c r="D249" s="5" t="s">
        <v>17</v>
      </c>
      <c r="E249" s="5" t="s">
        <v>19</v>
      </c>
      <c r="F249" s="5" t="s">
        <v>241</v>
      </c>
      <c r="G249" s="5" t="s">
        <v>242</v>
      </c>
      <c r="H249" s="5" t="s">
        <v>242</v>
      </c>
      <c r="I249" s="5" t="s">
        <v>138</v>
      </c>
      <c r="J249" s="5" t="s">
        <v>3353</v>
      </c>
      <c r="K249" s="5" t="s">
        <v>426</v>
      </c>
      <c r="L249" s="7">
        <v>46024</v>
      </c>
      <c r="M249" s="7">
        <v>46113</v>
      </c>
      <c r="N249" s="10" t="s">
        <v>683</v>
      </c>
      <c r="O249" s="5" t="s">
        <v>2486</v>
      </c>
      <c r="P249" s="5" t="s">
        <v>2547</v>
      </c>
      <c r="Q249" s="6"/>
      <c r="R249" s="6"/>
      <c r="S249" s="52" t="s">
        <v>2488</v>
      </c>
    </row>
    <row r="250" spans="1:19" x14ac:dyDescent="0.35">
      <c r="A250" s="5" t="s">
        <v>3354</v>
      </c>
      <c r="B250" s="5" t="s">
        <v>3355</v>
      </c>
      <c r="C250" s="5" t="s">
        <v>3356</v>
      </c>
      <c r="D250" s="5" t="s">
        <v>28</v>
      </c>
      <c r="E250" s="5" t="s">
        <v>19</v>
      </c>
      <c r="F250" s="5" t="s">
        <v>241</v>
      </c>
      <c r="G250" s="5" t="s">
        <v>242</v>
      </c>
      <c r="H250" s="5" t="s">
        <v>242</v>
      </c>
      <c r="I250" s="5" t="s">
        <v>659</v>
      </c>
      <c r="J250" s="5" t="s">
        <v>3357</v>
      </c>
      <c r="K250" s="5" t="s">
        <v>470</v>
      </c>
      <c r="L250" s="7">
        <v>46029</v>
      </c>
      <c r="M250" s="7">
        <v>46265</v>
      </c>
      <c r="N250" s="10" t="s">
        <v>2493</v>
      </c>
      <c r="O250" s="5" t="s">
        <v>2494</v>
      </c>
      <c r="P250" s="5" t="s">
        <v>2573</v>
      </c>
      <c r="Q250" s="6"/>
      <c r="R250" s="6"/>
      <c r="S250" s="52" t="s">
        <v>2488</v>
      </c>
    </row>
    <row r="251" spans="1:19" x14ac:dyDescent="0.35">
      <c r="A251" s="5" t="s">
        <v>3358</v>
      </c>
      <c r="B251" s="5" t="s">
        <v>3359</v>
      </c>
      <c r="C251" s="5" t="s">
        <v>3360</v>
      </c>
      <c r="D251" s="5" t="s">
        <v>28</v>
      </c>
      <c r="E251" s="5" t="s">
        <v>1583</v>
      </c>
      <c r="F251" s="5" t="s">
        <v>241</v>
      </c>
      <c r="G251" s="5" t="s">
        <v>242</v>
      </c>
      <c r="H251" s="5" t="s">
        <v>242</v>
      </c>
      <c r="I251" s="5" t="s">
        <v>1026</v>
      </c>
      <c r="J251" s="5" t="s">
        <v>2484</v>
      </c>
      <c r="K251" s="5" t="s">
        <v>426</v>
      </c>
      <c r="L251" s="7">
        <v>46027</v>
      </c>
      <c r="M251" s="7">
        <v>46281</v>
      </c>
      <c r="N251" s="10" t="s">
        <v>2493</v>
      </c>
      <c r="O251" s="5" t="s">
        <v>2494</v>
      </c>
      <c r="P251" s="5" t="s">
        <v>2581</v>
      </c>
      <c r="Q251" s="6"/>
      <c r="R251" s="6"/>
      <c r="S251" s="52" t="s">
        <v>2582</v>
      </c>
    </row>
    <row r="252" spans="1:19" x14ac:dyDescent="0.35">
      <c r="A252" s="5" t="s">
        <v>3361</v>
      </c>
      <c r="B252" s="5" t="s">
        <v>3362</v>
      </c>
      <c r="C252" s="5" t="s">
        <v>3363</v>
      </c>
      <c r="D252" s="5" t="s">
        <v>17</v>
      </c>
      <c r="E252" s="5" t="s">
        <v>19</v>
      </c>
      <c r="F252" s="5" t="s">
        <v>241</v>
      </c>
      <c r="G252" s="5" t="s">
        <v>242</v>
      </c>
      <c r="H252" s="5" t="s">
        <v>242</v>
      </c>
      <c r="I252" s="5" t="s">
        <v>683</v>
      </c>
      <c r="J252" s="5" t="s">
        <v>3262</v>
      </c>
      <c r="K252" s="5" t="s">
        <v>426</v>
      </c>
      <c r="L252" s="7">
        <v>46034</v>
      </c>
      <c r="M252" s="7">
        <v>46234</v>
      </c>
      <c r="N252" s="10" t="s">
        <v>2493</v>
      </c>
      <c r="O252" s="5" t="s">
        <v>2486</v>
      </c>
      <c r="P252" s="5" t="s">
        <v>2547</v>
      </c>
      <c r="Q252" s="6"/>
      <c r="R252" s="6"/>
      <c r="S252" s="52" t="s">
        <v>2488</v>
      </c>
    </row>
    <row r="253" spans="1:19" x14ac:dyDescent="0.35">
      <c r="A253" s="5" t="s">
        <v>3364</v>
      </c>
      <c r="B253" s="5" t="s">
        <v>3365</v>
      </c>
      <c r="C253" s="5" t="s">
        <v>3366</v>
      </c>
      <c r="D253" s="5" t="s">
        <v>28</v>
      </c>
      <c r="E253" s="5" t="s">
        <v>19</v>
      </c>
      <c r="F253" s="5" t="s">
        <v>241</v>
      </c>
      <c r="G253" s="5" t="s">
        <v>242</v>
      </c>
      <c r="H253" s="5" t="s">
        <v>242</v>
      </c>
      <c r="I253" s="5" t="s">
        <v>138</v>
      </c>
      <c r="J253" s="5" t="s">
        <v>1049</v>
      </c>
      <c r="K253" s="5" t="s">
        <v>426</v>
      </c>
      <c r="L253" s="7">
        <v>46030</v>
      </c>
      <c r="M253" s="7">
        <v>46092</v>
      </c>
      <c r="N253" s="10" t="s">
        <v>2485</v>
      </c>
      <c r="O253" s="5" t="s">
        <v>2486</v>
      </c>
      <c r="P253" s="5" t="s">
        <v>2547</v>
      </c>
      <c r="Q253" s="6"/>
      <c r="R253" s="6"/>
      <c r="S253" s="52" t="s">
        <v>2488</v>
      </c>
    </row>
    <row r="254" spans="1:19" x14ac:dyDescent="0.35">
      <c r="A254" s="5" t="s">
        <v>3367</v>
      </c>
      <c r="B254" s="5" t="s">
        <v>3368</v>
      </c>
      <c r="C254" s="5" t="s">
        <v>3369</v>
      </c>
      <c r="D254" s="5" t="s">
        <v>17</v>
      </c>
      <c r="E254" s="5" t="s">
        <v>130</v>
      </c>
      <c r="F254" s="5" t="s">
        <v>241</v>
      </c>
      <c r="G254" s="5" t="s">
        <v>242</v>
      </c>
      <c r="H254" s="5" t="s">
        <v>242</v>
      </c>
      <c r="I254" s="5" t="s">
        <v>138</v>
      </c>
      <c r="J254" s="5" t="s">
        <v>3370</v>
      </c>
      <c r="K254" s="5" t="s">
        <v>426</v>
      </c>
      <c r="L254" s="7">
        <v>46035</v>
      </c>
      <c r="M254" s="7">
        <v>46295</v>
      </c>
      <c r="N254" s="10" t="s">
        <v>2493</v>
      </c>
      <c r="O254" s="5" t="s">
        <v>2486</v>
      </c>
      <c r="P254" s="5" t="s">
        <v>2581</v>
      </c>
      <c r="Q254" s="6"/>
      <c r="R254" s="6"/>
      <c r="S254" s="52" t="s">
        <v>2582</v>
      </c>
    </row>
    <row r="255" spans="1:19" x14ac:dyDescent="0.35">
      <c r="A255" s="5" t="s">
        <v>3371</v>
      </c>
      <c r="B255" s="5" t="s">
        <v>3372</v>
      </c>
      <c r="C255" s="5" t="s">
        <v>3373</v>
      </c>
      <c r="D255" s="5" t="s">
        <v>28</v>
      </c>
      <c r="E255" s="5" t="s">
        <v>19</v>
      </c>
      <c r="F255" s="5" t="s">
        <v>241</v>
      </c>
      <c r="G255" s="5" t="s">
        <v>242</v>
      </c>
      <c r="H255" s="5" t="s">
        <v>242</v>
      </c>
      <c r="I255" s="5" t="s">
        <v>702</v>
      </c>
      <c r="J255" s="5" t="s">
        <v>3374</v>
      </c>
      <c r="K255" s="5" t="s">
        <v>470</v>
      </c>
      <c r="L255" s="7">
        <v>46041</v>
      </c>
      <c r="M255" s="7">
        <v>46042</v>
      </c>
      <c r="N255" s="10" t="s">
        <v>2485</v>
      </c>
      <c r="O255" s="5" t="s">
        <v>2494</v>
      </c>
      <c r="P255" s="5" t="s">
        <v>2573</v>
      </c>
      <c r="Q255" s="6"/>
      <c r="R255" s="6"/>
      <c r="S255" s="52" t="s">
        <v>2488</v>
      </c>
    </row>
    <row r="256" spans="1:19" x14ac:dyDescent="0.35">
      <c r="A256" s="5" t="s">
        <v>3375</v>
      </c>
      <c r="B256" s="5" t="s">
        <v>3376</v>
      </c>
      <c r="C256" s="5" t="s">
        <v>3377</v>
      </c>
      <c r="D256" s="5" t="s">
        <v>28</v>
      </c>
      <c r="E256" s="5" t="s">
        <v>19</v>
      </c>
      <c r="F256" s="5" t="s">
        <v>37</v>
      </c>
      <c r="G256" s="53" t="s">
        <v>2476</v>
      </c>
      <c r="H256" s="31" t="s">
        <v>101</v>
      </c>
      <c r="I256" s="5"/>
      <c r="J256" s="5" t="s">
        <v>3378</v>
      </c>
      <c r="K256" s="5" t="s">
        <v>3379</v>
      </c>
      <c r="L256" s="7">
        <v>46062</v>
      </c>
      <c r="M256" s="7">
        <v>46093</v>
      </c>
      <c r="N256" s="10" t="s">
        <v>2485</v>
      </c>
      <c r="O256" s="5" t="s">
        <v>2486</v>
      </c>
      <c r="P256" s="5" t="s">
        <v>2951</v>
      </c>
      <c r="Q256" s="6"/>
      <c r="R256" s="6"/>
      <c r="S256" s="6" t="s">
        <v>2473</v>
      </c>
    </row>
    <row r="257" spans="1:19" x14ac:dyDescent="0.35">
      <c r="A257" s="5" t="s">
        <v>3380</v>
      </c>
      <c r="B257" s="5" t="s">
        <v>3381</v>
      </c>
      <c r="C257" s="5" t="s">
        <v>3382</v>
      </c>
      <c r="D257" s="5" t="s">
        <v>17</v>
      </c>
      <c r="E257" s="5" t="s">
        <v>19</v>
      </c>
      <c r="F257" s="5" t="s">
        <v>241</v>
      </c>
      <c r="G257" s="5" t="s">
        <v>242</v>
      </c>
      <c r="H257" s="5" t="s">
        <v>242</v>
      </c>
      <c r="I257" s="5" t="s">
        <v>138</v>
      </c>
      <c r="J257" s="5" t="s">
        <v>194</v>
      </c>
      <c r="K257" s="5" t="s">
        <v>426</v>
      </c>
      <c r="L257" s="7">
        <v>46058</v>
      </c>
      <c r="M257" s="7">
        <v>46161</v>
      </c>
      <c r="N257" s="10" t="s">
        <v>683</v>
      </c>
      <c r="O257" s="5" t="s">
        <v>2486</v>
      </c>
      <c r="P257" s="5" t="s">
        <v>2547</v>
      </c>
      <c r="Q257" s="6"/>
      <c r="R257" s="6"/>
      <c r="S257" s="52" t="s">
        <v>2488</v>
      </c>
    </row>
    <row r="258" spans="1:19" x14ac:dyDescent="0.35">
      <c r="A258" s="5" t="s">
        <v>3383</v>
      </c>
      <c r="B258" s="5" t="s">
        <v>3384</v>
      </c>
      <c r="C258" s="5" t="s">
        <v>3385</v>
      </c>
      <c r="D258" s="5" t="s">
        <v>28</v>
      </c>
      <c r="E258" s="5" t="s">
        <v>156</v>
      </c>
      <c r="F258" s="5" t="s">
        <v>241</v>
      </c>
      <c r="G258" s="5" t="s">
        <v>242</v>
      </c>
      <c r="H258" s="5" t="s">
        <v>242</v>
      </c>
      <c r="I258" s="5" t="s">
        <v>468</v>
      </c>
      <c r="J258" s="5" t="s">
        <v>3386</v>
      </c>
      <c r="K258" s="5" t="s">
        <v>470</v>
      </c>
      <c r="L258" s="7">
        <v>46069</v>
      </c>
      <c r="M258" s="7">
        <v>46258</v>
      </c>
      <c r="N258" s="10" t="s">
        <v>2493</v>
      </c>
      <c r="O258" s="5" t="s">
        <v>2494</v>
      </c>
      <c r="P258" s="5" t="s">
        <v>2499</v>
      </c>
      <c r="Q258" s="6"/>
      <c r="R258" s="6"/>
      <c r="S258" s="52" t="s">
        <v>2488</v>
      </c>
    </row>
    <row r="259" spans="1:19" x14ac:dyDescent="0.35">
      <c r="A259" s="5" t="s">
        <v>3387</v>
      </c>
      <c r="B259" s="5" t="s">
        <v>3388</v>
      </c>
      <c r="C259" s="5" t="s">
        <v>3389</v>
      </c>
      <c r="D259" s="5" t="s">
        <v>28</v>
      </c>
      <c r="E259" s="5" t="s">
        <v>19</v>
      </c>
      <c r="F259" s="5" t="s">
        <v>29</v>
      </c>
      <c r="G259" s="5" t="s">
        <v>395</v>
      </c>
      <c r="H259" s="5" t="s">
        <v>395</v>
      </c>
      <c r="I259" s="5"/>
      <c r="J259" s="5" t="s">
        <v>3390</v>
      </c>
      <c r="K259" s="5" t="s">
        <v>210</v>
      </c>
      <c r="L259" s="7">
        <v>46073</v>
      </c>
      <c r="M259" s="7">
        <v>46108</v>
      </c>
      <c r="N259" s="10" t="s">
        <v>2485</v>
      </c>
      <c r="O259" s="5" t="s">
        <v>2494</v>
      </c>
      <c r="P259" s="5" t="s">
        <v>2581</v>
      </c>
      <c r="Q259" s="6" t="s">
        <v>3391</v>
      </c>
      <c r="R259" s="6" t="s">
        <v>18</v>
      </c>
      <c r="S259" s="52" t="s">
        <v>2582</v>
      </c>
    </row>
    <row r="260" spans="1:19" x14ac:dyDescent="0.35">
      <c r="A260" s="5" t="s">
        <v>3392</v>
      </c>
      <c r="B260" s="5" t="s">
        <v>3393</v>
      </c>
      <c r="C260" s="5" t="s">
        <v>3394</v>
      </c>
      <c r="D260" s="5" t="s">
        <v>17</v>
      </c>
      <c r="E260" s="5" t="s">
        <v>19</v>
      </c>
      <c r="F260" s="5" t="s">
        <v>241</v>
      </c>
      <c r="G260" s="5" t="s">
        <v>242</v>
      </c>
      <c r="H260" s="5" t="s">
        <v>242</v>
      </c>
      <c r="I260" s="5" t="s">
        <v>138</v>
      </c>
      <c r="J260" s="5" t="s">
        <v>506</v>
      </c>
      <c r="K260" s="5" t="s">
        <v>426</v>
      </c>
      <c r="L260" s="7">
        <v>46085</v>
      </c>
      <c r="M260" s="7">
        <v>46157</v>
      </c>
      <c r="N260" s="10" t="s">
        <v>683</v>
      </c>
      <c r="O260" s="5" t="s">
        <v>2486</v>
      </c>
      <c r="P260" s="5" t="s">
        <v>2845</v>
      </c>
      <c r="Q260" s="6"/>
      <c r="R260" s="6"/>
      <c r="S260" s="6" t="s">
        <v>2515</v>
      </c>
    </row>
    <row r="261" spans="1:19" x14ac:dyDescent="0.35">
      <c r="A261" s="5" t="s">
        <v>3395</v>
      </c>
      <c r="B261" s="5" t="s">
        <v>3396</v>
      </c>
      <c r="C261" s="5" t="s">
        <v>3397</v>
      </c>
      <c r="D261" s="5" t="s">
        <v>17</v>
      </c>
      <c r="E261" s="5" t="s">
        <v>130</v>
      </c>
      <c r="F261" s="5" t="s">
        <v>241</v>
      </c>
      <c r="G261" s="5" t="s">
        <v>242</v>
      </c>
      <c r="H261" s="5" t="s">
        <v>242</v>
      </c>
      <c r="I261" s="5" t="s">
        <v>39</v>
      </c>
      <c r="J261" s="5" t="s">
        <v>431</v>
      </c>
      <c r="K261" s="5" t="s">
        <v>470</v>
      </c>
      <c r="L261" s="7">
        <v>46093</v>
      </c>
      <c r="M261" s="7">
        <v>46163</v>
      </c>
      <c r="N261" s="10" t="s">
        <v>683</v>
      </c>
      <c r="O261" s="5" t="s">
        <v>2486</v>
      </c>
      <c r="P261" s="5" t="s">
        <v>2547</v>
      </c>
      <c r="Q261" s="6"/>
      <c r="R261" s="6"/>
      <c r="S261" s="52" t="s">
        <v>2488</v>
      </c>
    </row>
    <row r="262" spans="1:19" x14ac:dyDescent="0.35">
      <c r="A262" s="5" t="s">
        <v>3398</v>
      </c>
      <c r="B262" s="5" t="s">
        <v>3399</v>
      </c>
      <c r="C262" s="5" t="s">
        <v>3400</v>
      </c>
      <c r="D262" s="5" t="s">
        <v>17</v>
      </c>
      <c r="E262" s="5" t="s">
        <v>19</v>
      </c>
      <c r="F262" s="5" t="s">
        <v>29</v>
      </c>
      <c r="G262" s="5" t="s">
        <v>395</v>
      </c>
      <c r="H262" s="5" t="s">
        <v>395</v>
      </c>
      <c r="I262" s="5"/>
      <c r="J262" s="5" t="s">
        <v>410</v>
      </c>
      <c r="K262" s="5" t="s">
        <v>1117</v>
      </c>
      <c r="L262" s="7">
        <v>46097</v>
      </c>
      <c r="M262" s="7">
        <v>46273</v>
      </c>
      <c r="N262" s="10" t="s">
        <v>2493</v>
      </c>
      <c r="O262" s="5" t="s">
        <v>2494</v>
      </c>
      <c r="P262" s="5" t="s">
        <v>2495</v>
      </c>
      <c r="Q262" s="6" t="s">
        <v>807</v>
      </c>
      <c r="R262" s="6" t="s">
        <v>18</v>
      </c>
      <c r="S262" s="6" t="s">
        <v>3245</v>
      </c>
    </row>
    <row r="263" spans="1:19" x14ac:dyDescent="0.35">
      <c r="A263" s="5" t="s">
        <v>3401</v>
      </c>
      <c r="B263" s="5" t="s">
        <v>3402</v>
      </c>
      <c r="C263" s="5" t="s">
        <v>3403</v>
      </c>
      <c r="D263" s="5" t="s">
        <v>28</v>
      </c>
      <c r="E263" s="5" t="s">
        <v>19</v>
      </c>
      <c r="F263" s="5" t="s">
        <v>37</v>
      </c>
      <c r="G263" s="53" t="s">
        <v>2476</v>
      </c>
      <c r="H263" s="5" t="s">
        <v>3606</v>
      </c>
      <c r="I263" s="5"/>
      <c r="J263" s="5" t="s">
        <v>230</v>
      </c>
      <c r="K263" s="5" t="s">
        <v>35</v>
      </c>
      <c r="L263" s="7">
        <v>46104</v>
      </c>
      <c r="M263" s="7">
        <v>46108</v>
      </c>
      <c r="N263" s="10" t="s">
        <v>2485</v>
      </c>
      <c r="O263" s="5" t="s">
        <v>2494</v>
      </c>
      <c r="P263" s="5" t="s">
        <v>3404</v>
      </c>
      <c r="Q263" s="6"/>
      <c r="R263" s="6"/>
      <c r="S263" s="6" t="s">
        <v>2473</v>
      </c>
    </row>
    <row r="264" spans="1:19" x14ac:dyDescent="0.35">
      <c r="A264" s="5" t="s">
        <v>3405</v>
      </c>
      <c r="B264" s="5" t="s">
        <v>3406</v>
      </c>
      <c r="C264" s="5" t="s">
        <v>3407</v>
      </c>
      <c r="D264" s="5" t="s">
        <v>28</v>
      </c>
      <c r="E264" s="5" t="s">
        <v>19</v>
      </c>
      <c r="F264" s="5" t="s">
        <v>241</v>
      </c>
      <c r="G264" s="5" t="s">
        <v>242</v>
      </c>
      <c r="H264" s="5" t="s">
        <v>242</v>
      </c>
      <c r="I264" s="5" t="s">
        <v>702</v>
      </c>
      <c r="J264" s="5" t="s">
        <v>3408</v>
      </c>
      <c r="K264" s="5" t="s">
        <v>470</v>
      </c>
      <c r="L264" s="7">
        <v>46104</v>
      </c>
      <c r="M264" s="7">
        <v>46250</v>
      </c>
      <c r="N264" s="10" t="s">
        <v>2493</v>
      </c>
      <c r="O264" s="5" t="s">
        <v>2486</v>
      </c>
      <c r="P264" s="5" t="s">
        <v>2693</v>
      </c>
      <c r="Q264" s="6"/>
      <c r="R264" s="6"/>
      <c r="S264" s="6" t="s">
        <v>2515</v>
      </c>
    </row>
    <row r="265" spans="1:19" x14ac:dyDescent="0.35">
      <c r="A265" s="5" t="s">
        <v>3409</v>
      </c>
      <c r="B265" s="5" t="s">
        <v>3410</v>
      </c>
      <c r="C265" s="5" t="s">
        <v>3411</v>
      </c>
      <c r="D265" s="5" t="s">
        <v>28</v>
      </c>
      <c r="E265" s="5" t="s">
        <v>19</v>
      </c>
      <c r="F265" s="5" t="s">
        <v>241</v>
      </c>
      <c r="G265" s="5" t="s">
        <v>242</v>
      </c>
      <c r="H265" s="5" t="s">
        <v>242</v>
      </c>
      <c r="I265" s="5" t="s">
        <v>702</v>
      </c>
      <c r="J265" s="5" t="s">
        <v>3408</v>
      </c>
      <c r="K265" s="5" t="s">
        <v>470</v>
      </c>
      <c r="L265" s="7">
        <v>46104</v>
      </c>
      <c r="M265" s="7">
        <v>46182</v>
      </c>
      <c r="N265" s="10" t="s">
        <v>683</v>
      </c>
      <c r="O265" s="5" t="s">
        <v>2486</v>
      </c>
      <c r="P265" s="5" t="s">
        <v>2547</v>
      </c>
      <c r="Q265" s="6"/>
      <c r="R265" s="6"/>
      <c r="S265" s="52" t="s">
        <v>2488</v>
      </c>
    </row>
    <row r="266" spans="1:19" x14ac:dyDescent="0.35">
      <c r="A266" s="5" t="s">
        <v>3412</v>
      </c>
      <c r="B266" s="5" t="s">
        <v>3413</v>
      </c>
      <c r="C266" s="5" t="s">
        <v>3414</v>
      </c>
      <c r="D266" s="5" t="s">
        <v>17</v>
      </c>
      <c r="E266" s="5" t="s">
        <v>19</v>
      </c>
      <c r="F266" s="5" t="s">
        <v>241</v>
      </c>
      <c r="G266" s="5" t="s">
        <v>242</v>
      </c>
      <c r="H266" s="5" t="s">
        <v>242</v>
      </c>
      <c r="I266" s="5" t="s">
        <v>702</v>
      </c>
      <c r="J266" s="5" t="s">
        <v>3408</v>
      </c>
      <c r="K266" s="5" t="s">
        <v>470</v>
      </c>
      <c r="L266" s="7">
        <v>46104</v>
      </c>
      <c r="M266" s="7">
        <v>46106</v>
      </c>
      <c r="N266" s="10" t="s">
        <v>2485</v>
      </c>
      <c r="O266" s="5" t="s">
        <v>2494</v>
      </c>
      <c r="P266" s="5" t="s">
        <v>2573</v>
      </c>
      <c r="Q266" s="6"/>
      <c r="R266" s="6"/>
      <c r="S266" s="52" t="s">
        <v>2488</v>
      </c>
    </row>
    <row r="267" spans="1:19" x14ac:dyDescent="0.35">
      <c r="A267" s="5" t="s">
        <v>3415</v>
      </c>
      <c r="B267" s="5" t="s">
        <v>3416</v>
      </c>
      <c r="C267" s="5" t="s">
        <v>3417</v>
      </c>
      <c r="D267" s="5" t="s">
        <v>28</v>
      </c>
      <c r="E267" s="5" t="s">
        <v>19</v>
      </c>
      <c r="F267" s="5" t="s">
        <v>241</v>
      </c>
      <c r="G267" s="5" t="s">
        <v>242</v>
      </c>
      <c r="H267" s="5" t="s">
        <v>242</v>
      </c>
      <c r="I267" s="5" t="s">
        <v>702</v>
      </c>
      <c r="J267" s="5" t="s">
        <v>3408</v>
      </c>
      <c r="K267" s="5" t="s">
        <v>470</v>
      </c>
      <c r="L267" s="7">
        <v>46105</v>
      </c>
      <c r="M267" s="7">
        <v>46243</v>
      </c>
      <c r="N267" s="10" t="s">
        <v>2493</v>
      </c>
      <c r="O267" s="5" t="s">
        <v>2486</v>
      </c>
      <c r="P267" s="5" t="s">
        <v>2693</v>
      </c>
      <c r="Q267" s="6"/>
      <c r="R267" s="6"/>
      <c r="S267" s="6" t="s">
        <v>2515</v>
      </c>
    </row>
    <row r="268" spans="1:19" x14ac:dyDescent="0.35">
      <c r="A268" s="5" t="s">
        <v>3418</v>
      </c>
      <c r="B268" s="5" t="s">
        <v>3419</v>
      </c>
      <c r="C268" s="5" t="s">
        <v>3420</v>
      </c>
      <c r="D268" s="5" t="s">
        <v>28</v>
      </c>
      <c r="E268" s="5" t="s">
        <v>647</v>
      </c>
      <c r="F268" s="5" t="s">
        <v>241</v>
      </c>
      <c r="G268" s="5" t="s">
        <v>242</v>
      </c>
      <c r="H268" s="5" t="s">
        <v>242</v>
      </c>
      <c r="I268" s="5" t="s">
        <v>39</v>
      </c>
      <c r="J268" s="5" t="s">
        <v>3421</v>
      </c>
      <c r="K268" s="5" t="s">
        <v>470</v>
      </c>
      <c r="L268" s="7">
        <v>46104</v>
      </c>
      <c r="M268" s="7">
        <v>46203</v>
      </c>
      <c r="N268" s="10" t="s">
        <v>683</v>
      </c>
      <c r="O268" s="5" t="s">
        <v>2486</v>
      </c>
      <c r="P268" s="5" t="s">
        <v>2845</v>
      </c>
      <c r="Q268" s="6"/>
      <c r="R268" s="6"/>
      <c r="S268" s="6" t="s">
        <v>2515</v>
      </c>
    </row>
    <row r="269" spans="1:19" x14ac:dyDescent="0.35">
      <c r="A269" s="5" t="s">
        <v>3422</v>
      </c>
      <c r="B269" s="5" t="s">
        <v>3423</v>
      </c>
      <c r="C269" s="5" t="s">
        <v>3424</v>
      </c>
      <c r="D269" s="5" t="s">
        <v>17</v>
      </c>
      <c r="E269" s="5" t="s">
        <v>130</v>
      </c>
      <c r="F269" s="5" t="s">
        <v>241</v>
      </c>
      <c r="G269" s="5" t="s">
        <v>242</v>
      </c>
      <c r="H269" s="5" t="s">
        <v>242</v>
      </c>
      <c r="I269" s="5" t="s">
        <v>138</v>
      </c>
      <c r="J269" s="5" t="s">
        <v>187</v>
      </c>
      <c r="K269" s="5" t="s">
        <v>426</v>
      </c>
      <c r="L269" s="7">
        <v>46107</v>
      </c>
      <c r="M269" s="7">
        <v>46178</v>
      </c>
      <c r="N269" s="10" t="s">
        <v>683</v>
      </c>
      <c r="O269" s="5" t="s">
        <v>2494</v>
      </c>
      <c r="P269" s="5" t="s">
        <v>2573</v>
      </c>
      <c r="Q269" s="6"/>
      <c r="R269" s="6"/>
      <c r="S269" s="52" t="s">
        <v>2488</v>
      </c>
    </row>
    <row r="270" spans="1:19" x14ac:dyDescent="0.35">
      <c r="A270" s="5" t="s">
        <v>3425</v>
      </c>
      <c r="B270" s="5" t="s">
        <v>3426</v>
      </c>
      <c r="C270" s="5" t="s">
        <v>3427</v>
      </c>
      <c r="D270" s="5" t="s">
        <v>17</v>
      </c>
      <c r="E270" s="5" t="s">
        <v>19</v>
      </c>
      <c r="F270" s="5" t="s">
        <v>241</v>
      </c>
      <c r="G270" s="5" t="s">
        <v>242</v>
      </c>
      <c r="H270" s="5" t="s">
        <v>242</v>
      </c>
      <c r="I270" s="5" t="s">
        <v>138</v>
      </c>
      <c r="J270" s="5" t="s">
        <v>3428</v>
      </c>
      <c r="K270" s="5" t="s">
        <v>426</v>
      </c>
      <c r="L270" s="7">
        <v>46099</v>
      </c>
      <c r="M270" s="7">
        <v>46241</v>
      </c>
      <c r="N270" s="10" t="s">
        <v>2493</v>
      </c>
      <c r="O270" s="5" t="s">
        <v>2486</v>
      </c>
      <c r="P270" s="5" t="s">
        <v>2547</v>
      </c>
      <c r="Q270" s="6"/>
      <c r="R270" s="6"/>
      <c r="S270" s="52" t="s">
        <v>2488</v>
      </c>
    </row>
    <row r="271" spans="1:19" x14ac:dyDescent="0.35">
      <c r="A271" s="5" t="s">
        <v>3429</v>
      </c>
      <c r="B271" s="5" t="s">
        <v>3430</v>
      </c>
      <c r="C271" s="5" t="s">
        <v>3431</v>
      </c>
      <c r="D271" s="5" t="s">
        <v>28</v>
      </c>
      <c r="E271" s="5" t="s">
        <v>19</v>
      </c>
      <c r="F271" s="5" t="s">
        <v>241</v>
      </c>
      <c r="G271" s="5" t="s">
        <v>242</v>
      </c>
      <c r="H271" s="5" t="s">
        <v>242</v>
      </c>
      <c r="I271" s="5" t="s">
        <v>1026</v>
      </c>
      <c r="J271" s="5" t="s">
        <v>3432</v>
      </c>
      <c r="K271" s="5" t="s">
        <v>426</v>
      </c>
      <c r="L271" s="7">
        <v>46111</v>
      </c>
      <c r="M271" s="7">
        <v>46120</v>
      </c>
      <c r="N271" s="10" t="s">
        <v>683</v>
      </c>
      <c r="O271" s="5" t="s">
        <v>2486</v>
      </c>
      <c r="P271" s="5" t="s">
        <v>2487</v>
      </c>
      <c r="Q271" s="6"/>
      <c r="R271" s="6"/>
      <c r="S271" s="52" t="s">
        <v>2488</v>
      </c>
    </row>
    <row r="272" spans="1:19" x14ac:dyDescent="0.35">
      <c r="A272" s="5" t="s">
        <v>3433</v>
      </c>
      <c r="B272" s="5" t="s">
        <v>3434</v>
      </c>
      <c r="C272" s="5" t="s">
        <v>3435</v>
      </c>
      <c r="D272" s="5" t="s">
        <v>28</v>
      </c>
      <c r="E272" s="5" t="s">
        <v>74</v>
      </c>
      <c r="F272" s="5" t="s">
        <v>241</v>
      </c>
      <c r="G272" s="5" t="s">
        <v>242</v>
      </c>
      <c r="H272" s="5" t="s">
        <v>242</v>
      </c>
      <c r="I272" s="5" t="s">
        <v>282</v>
      </c>
      <c r="J272" s="5" t="s">
        <v>3436</v>
      </c>
      <c r="K272" s="5" t="s">
        <v>426</v>
      </c>
      <c r="L272" s="7">
        <v>46113</v>
      </c>
      <c r="M272" s="7">
        <v>46293</v>
      </c>
      <c r="N272" s="10" t="s">
        <v>2493</v>
      </c>
      <c r="O272" s="5" t="s">
        <v>2486</v>
      </c>
      <c r="P272" s="5" t="s">
        <v>2581</v>
      </c>
      <c r="Q272" s="6"/>
      <c r="R272" s="6"/>
      <c r="S272" s="52" t="s">
        <v>2582</v>
      </c>
    </row>
    <row r="273" spans="1:19" x14ac:dyDescent="0.35">
      <c r="A273" s="5" t="s">
        <v>3437</v>
      </c>
      <c r="B273" s="5" t="s">
        <v>3438</v>
      </c>
      <c r="C273" s="5" t="s">
        <v>3439</v>
      </c>
      <c r="D273" s="5" t="s">
        <v>28</v>
      </c>
      <c r="E273" s="5" t="s">
        <v>74</v>
      </c>
      <c r="F273" s="5" t="s">
        <v>241</v>
      </c>
      <c r="G273" s="5" t="s">
        <v>242</v>
      </c>
      <c r="H273" s="5" t="s">
        <v>242</v>
      </c>
      <c r="I273" s="5" t="s">
        <v>282</v>
      </c>
      <c r="J273" s="5" t="s">
        <v>3436</v>
      </c>
      <c r="K273" s="5" t="s">
        <v>426</v>
      </c>
      <c r="L273" s="7">
        <v>46113</v>
      </c>
      <c r="M273" s="7">
        <v>46293</v>
      </c>
      <c r="N273" s="10" t="s">
        <v>2493</v>
      </c>
      <c r="O273" s="5" t="s">
        <v>2486</v>
      </c>
      <c r="P273" s="5" t="s">
        <v>2581</v>
      </c>
      <c r="Q273" s="6"/>
      <c r="R273" s="6"/>
      <c r="S273" s="52" t="s">
        <v>2582</v>
      </c>
    </row>
    <row r="274" spans="1:19" x14ac:dyDescent="0.35">
      <c r="A274" s="5" t="s">
        <v>3440</v>
      </c>
      <c r="B274" s="5" t="s">
        <v>3441</v>
      </c>
      <c r="C274" s="5" t="s">
        <v>3442</v>
      </c>
      <c r="D274" s="5" t="s">
        <v>17</v>
      </c>
      <c r="E274" s="5" t="s">
        <v>74</v>
      </c>
      <c r="F274" s="5" t="s">
        <v>241</v>
      </c>
      <c r="G274" s="5" t="s">
        <v>242</v>
      </c>
      <c r="H274" s="5" t="s">
        <v>242</v>
      </c>
      <c r="I274" s="5" t="s">
        <v>282</v>
      </c>
      <c r="J274" s="5" t="s">
        <v>3436</v>
      </c>
      <c r="K274" s="5" t="s">
        <v>426</v>
      </c>
      <c r="L274" s="7">
        <v>46113</v>
      </c>
      <c r="M274" s="7">
        <v>46293</v>
      </c>
      <c r="N274" s="10" t="s">
        <v>2493</v>
      </c>
      <c r="O274" s="5" t="s">
        <v>2486</v>
      </c>
      <c r="P274" s="5" t="s">
        <v>2581</v>
      </c>
      <c r="Q274" s="6"/>
      <c r="R274" s="6"/>
      <c r="S274" s="52" t="s">
        <v>2582</v>
      </c>
    </row>
    <row r="275" spans="1:19" x14ac:dyDescent="0.35">
      <c r="A275" s="5" t="s">
        <v>3443</v>
      </c>
      <c r="B275" s="5" t="s">
        <v>3444</v>
      </c>
      <c r="C275" s="5" t="s">
        <v>3445</v>
      </c>
      <c r="D275" s="5" t="s">
        <v>17</v>
      </c>
      <c r="E275" s="5" t="s">
        <v>1274</v>
      </c>
      <c r="F275" s="5" t="s">
        <v>241</v>
      </c>
      <c r="G275" s="5" t="s">
        <v>242</v>
      </c>
      <c r="H275" s="5" t="s">
        <v>242</v>
      </c>
      <c r="I275" s="5" t="s">
        <v>282</v>
      </c>
      <c r="J275" s="5" t="s">
        <v>1528</v>
      </c>
      <c r="K275" s="5" t="s">
        <v>426</v>
      </c>
      <c r="L275" s="7">
        <v>46118</v>
      </c>
      <c r="M275" s="7">
        <v>46234</v>
      </c>
      <c r="N275" s="10" t="s">
        <v>2493</v>
      </c>
      <c r="O275" s="5" t="s">
        <v>2486</v>
      </c>
      <c r="P275" s="5" t="s">
        <v>2581</v>
      </c>
      <c r="Q275" s="6"/>
      <c r="R275" s="6"/>
      <c r="S275" s="52" t="s">
        <v>2582</v>
      </c>
    </row>
    <row r="276" spans="1:19" x14ac:dyDescent="0.35">
      <c r="A276" s="5" t="s">
        <v>3446</v>
      </c>
      <c r="B276" s="5" t="s">
        <v>3447</v>
      </c>
      <c r="C276" s="5" t="s">
        <v>3448</v>
      </c>
      <c r="D276" s="5" t="s">
        <v>17</v>
      </c>
      <c r="E276" s="5" t="s">
        <v>225</v>
      </c>
      <c r="F276" s="5" t="s">
        <v>241</v>
      </c>
      <c r="G276" s="5" t="s">
        <v>242</v>
      </c>
      <c r="H276" s="5" t="s">
        <v>242</v>
      </c>
      <c r="I276" s="5" t="s">
        <v>282</v>
      </c>
      <c r="J276" s="5" t="s">
        <v>1464</v>
      </c>
      <c r="K276" s="5" t="s">
        <v>426</v>
      </c>
      <c r="L276" s="7">
        <v>46118</v>
      </c>
      <c r="M276" s="7">
        <v>46203</v>
      </c>
      <c r="N276" s="10" t="s">
        <v>683</v>
      </c>
      <c r="O276" s="5" t="s">
        <v>2486</v>
      </c>
      <c r="P276" s="5" t="s">
        <v>2845</v>
      </c>
      <c r="Q276" s="6"/>
      <c r="R276" s="6"/>
      <c r="S276" s="6" t="s">
        <v>2515</v>
      </c>
    </row>
    <row r="277" spans="1:19" x14ac:dyDescent="0.35">
      <c r="A277" s="5" t="s">
        <v>3449</v>
      </c>
      <c r="B277" s="5" t="s">
        <v>3450</v>
      </c>
      <c r="C277" s="5" t="s">
        <v>3451</v>
      </c>
      <c r="D277" s="5" t="s">
        <v>17</v>
      </c>
      <c r="E277" s="5" t="s">
        <v>225</v>
      </c>
      <c r="F277" s="5" t="s">
        <v>241</v>
      </c>
      <c r="G277" s="5" t="s">
        <v>242</v>
      </c>
      <c r="H277" s="5" t="s">
        <v>242</v>
      </c>
      <c r="I277" s="5" t="s">
        <v>138</v>
      </c>
      <c r="J277" s="5" t="s">
        <v>413</v>
      </c>
      <c r="K277" s="5" t="s">
        <v>426</v>
      </c>
      <c r="L277" s="7">
        <v>46113</v>
      </c>
      <c r="M277" s="7">
        <v>46184</v>
      </c>
      <c r="N277" s="10" t="s">
        <v>683</v>
      </c>
      <c r="O277" s="5" t="s">
        <v>2486</v>
      </c>
      <c r="P277" s="5" t="s">
        <v>2547</v>
      </c>
      <c r="Q277" s="6"/>
      <c r="R277" s="6"/>
      <c r="S277" s="52" t="s">
        <v>2488</v>
      </c>
    </row>
    <row r="278" spans="1:19" x14ac:dyDescent="0.35">
      <c r="A278" s="5" t="s">
        <v>3452</v>
      </c>
      <c r="B278" s="5" t="s">
        <v>3453</v>
      </c>
      <c r="C278" s="5" t="s">
        <v>3454</v>
      </c>
      <c r="D278" s="5" t="s">
        <v>28</v>
      </c>
      <c r="E278" s="5" t="s">
        <v>19</v>
      </c>
      <c r="F278" s="5" t="s">
        <v>29</v>
      </c>
      <c r="G278" s="5" t="s">
        <v>395</v>
      </c>
      <c r="H278" s="5" t="s">
        <v>395</v>
      </c>
      <c r="I278" s="5"/>
      <c r="J278" s="5" t="s">
        <v>1449</v>
      </c>
      <c r="K278" s="5" t="s">
        <v>181</v>
      </c>
      <c r="L278" s="7">
        <v>46139</v>
      </c>
      <c r="M278" s="7">
        <v>46241</v>
      </c>
      <c r="N278" s="10" t="s">
        <v>2493</v>
      </c>
      <c r="O278" s="5" t="s">
        <v>2494</v>
      </c>
      <c r="P278" s="5" t="s">
        <v>3404</v>
      </c>
      <c r="Q278" s="6" t="s">
        <v>3455</v>
      </c>
      <c r="R278" s="6" t="s">
        <v>18</v>
      </c>
      <c r="S278" s="6" t="s">
        <v>2473</v>
      </c>
    </row>
    <row r="279" spans="1:19" x14ac:dyDescent="0.35">
      <c r="A279" s="5" t="s">
        <v>3456</v>
      </c>
      <c r="B279" s="5" t="s">
        <v>3457</v>
      </c>
      <c r="C279" s="5" t="s">
        <v>3458</v>
      </c>
      <c r="D279" s="5" t="s">
        <v>17</v>
      </c>
      <c r="E279" s="5" t="s">
        <v>19</v>
      </c>
      <c r="F279" s="5" t="s">
        <v>20</v>
      </c>
      <c r="G279" s="5" t="s">
        <v>20</v>
      </c>
      <c r="H279" s="5" t="s">
        <v>20</v>
      </c>
      <c r="I279" s="5" t="s">
        <v>165</v>
      </c>
      <c r="J279" s="5" t="s">
        <v>175</v>
      </c>
      <c r="K279" s="5" t="s">
        <v>163</v>
      </c>
      <c r="L279" s="7">
        <v>46139</v>
      </c>
      <c r="M279" s="7">
        <v>46260</v>
      </c>
      <c r="N279" s="10" t="s">
        <v>2493</v>
      </c>
      <c r="O279" s="5" t="s">
        <v>2486</v>
      </c>
      <c r="P279" s="5" t="s">
        <v>2547</v>
      </c>
      <c r="Q279" s="6"/>
      <c r="R279" s="6"/>
      <c r="S279" s="6" t="s">
        <v>2473</v>
      </c>
    </row>
    <row r="280" spans="1:19" x14ac:dyDescent="0.35">
      <c r="A280" s="5" t="s">
        <v>3459</v>
      </c>
      <c r="B280" s="5" t="s">
        <v>3460</v>
      </c>
      <c r="C280" s="5" t="s">
        <v>3461</v>
      </c>
      <c r="D280" s="5" t="s">
        <v>17</v>
      </c>
      <c r="E280" s="5" t="s">
        <v>19</v>
      </c>
      <c r="F280" s="5" t="s">
        <v>29</v>
      </c>
      <c r="G280" s="5" t="s">
        <v>395</v>
      </c>
      <c r="H280" s="5" t="s">
        <v>395</v>
      </c>
      <c r="I280" s="5"/>
      <c r="J280" s="5" t="s">
        <v>3462</v>
      </c>
      <c r="K280" s="5" t="s">
        <v>1117</v>
      </c>
      <c r="L280" s="7">
        <v>46148</v>
      </c>
      <c r="M280" s="7">
        <v>46280</v>
      </c>
      <c r="N280" s="10" t="s">
        <v>2493</v>
      </c>
      <c r="O280" s="5" t="s">
        <v>2486</v>
      </c>
      <c r="P280" s="5" t="s">
        <v>2547</v>
      </c>
      <c r="Q280" s="6" t="s">
        <v>807</v>
      </c>
      <c r="R280" s="6" t="s">
        <v>18</v>
      </c>
      <c r="S280" s="6" t="s">
        <v>3245</v>
      </c>
    </row>
    <row r="281" spans="1:19" x14ac:dyDescent="0.35">
      <c r="A281" s="5" t="s">
        <v>3463</v>
      </c>
      <c r="B281" s="5" t="s">
        <v>3464</v>
      </c>
      <c r="C281" s="5" t="s">
        <v>3465</v>
      </c>
      <c r="D281" s="5" t="s">
        <v>17</v>
      </c>
      <c r="E281" s="5" t="s">
        <v>19</v>
      </c>
      <c r="F281" s="5" t="s">
        <v>29</v>
      </c>
      <c r="G281" s="5" t="s">
        <v>395</v>
      </c>
      <c r="H281" s="5" t="s">
        <v>395</v>
      </c>
      <c r="I281" s="5"/>
      <c r="J281" s="5" t="s">
        <v>3466</v>
      </c>
      <c r="K281" s="5" t="s">
        <v>1117</v>
      </c>
      <c r="L281" s="7">
        <v>46146</v>
      </c>
      <c r="M281" s="7">
        <v>46241</v>
      </c>
      <c r="N281" s="10" t="s">
        <v>2493</v>
      </c>
      <c r="O281" s="5" t="s">
        <v>2494</v>
      </c>
      <c r="P281" s="5" t="s">
        <v>3404</v>
      </c>
      <c r="Q281" s="6" t="s">
        <v>807</v>
      </c>
      <c r="R281" s="6" t="s">
        <v>18</v>
      </c>
      <c r="S281" s="6" t="s">
        <v>3245</v>
      </c>
    </row>
    <row r="282" spans="1:19" x14ac:dyDescent="0.35">
      <c r="A282" s="5" t="s">
        <v>3467</v>
      </c>
      <c r="B282" s="5" t="s">
        <v>3468</v>
      </c>
      <c r="C282" s="5" t="s">
        <v>3469</v>
      </c>
      <c r="D282" s="5" t="s">
        <v>28</v>
      </c>
      <c r="E282" s="5" t="s">
        <v>19</v>
      </c>
      <c r="F282" s="5" t="s">
        <v>241</v>
      </c>
      <c r="G282" s="5" t="s">
        <v>242</v>
      </c>
      <c r="H282" s="5" t="s">
        <v>242</v>
      </c>
      <c r="I282" s="5" t="s">
        <v>282</v>
      </c>
      <c r="J282" s="5" t="s">
        <v>1560</v>
      </c>
      <c r="K282" s="5" t="s">
        <v>426</v>
      </c>
      <c r="L282" s="7">
        <v>46139</v>
      </c>
      <c r="M282" s="7">
        <v>46290</v>
      </c>
      <c r="N282" s="10" t="s">
        <v>2493</v>
      </c>
      <c r="O282" s="5" t="s">
        <v>2494</v>
      </c>
      <c r="P282" s="5" t="s">
        <v>2573</v>
      </c>
      <c r="Q282" s="6"/>
      <c r="R282" s="6"/>
      <c r="S282" s="52" t="s">
        <v>2488</v>
      </c>
    </row>
    <row r="283" spans="1:19" x14ac:dyDescent="0.35">
      <c r="A283" s="5" t="s">
        <v>3470</v>
      </c>
      <c r="B283" s="5" t="s">
        <v>3471</v>
      </c>
      <c r="C283" s="5" t="s">
        <v>3472</v>
      </c>
      <c r="D283" s="5" t="s">
        <v>17</v>
      </c>
      <c r="E283" s="5" t="s">
        <v>19</v>
      </c>
      <c r="F283" s="5" t="s">
        <v>29</v>
      </c>
      <c r="G283" s="5" t="s">
        <v>395</v>
      </c>
      <c r="H283" s="5" t="s">
        <v>395</v>
      </c>
      <c r="I283" s="5"/>
      <c r="J283" s="5" t="s">
        <v>1570</v>
      </c>
      <c r="K283" s="5" t="s">
        <v>389</v>
      </c>
      <c r="L283" s="7">
        <v>46149</v>
      </c>
      <c r="M283" s="7">
        <v>46295</v>
      </c>
      <c r="N283" s="10" t="s">
        <v>2493</v>
      </c>
      <c r="O283" s="5" t="s">
        <v>2486</v>
      </c>
      <c r="P283" s="5" t="s">
        <v>2581</v>
      </c>
      <c r="Q283" s="6" t="s">
        <v>620</v>
      </c>
      <c r="R283" s="6" t="s">
        <v>18</v>
      </c>
      <c r="S283" s="52" t="s">
        <v>2582</v>
      </c>
    </row>
    <row r="284" spans="1:19" x14ac:dyDescent="0.35">
      <c r="A284" s="5" t="s">
        <v>3473</v>
      </c>
      <c r="B284" s="5" t="s">
        <v>3474</v>
      </c>
      <c r="C284" s="5" t="s">
        <v>3475</v>
      </c>
      <c r="D284" s="5" t="s">
        <v>28</v>
      </c>
      <c r="E284" s="5" t="s">
        <v>19</v>
      </c>
      <c r="F284" s="5" t="s">
        <v>241</v>
      </c>
      <c r="G284" s="5" t="s">
        <v>242</v>
      </c>
      <c r="H284" s="5" t="s">
        <v>242</v>
      </c>
      <c r="I284" s="5" t="s">
        <v>702</v>
      </c>
      <c r="J284" s="5" t="s">
        <v>1592</v>
      </c>
      <c r="K284" s="5" t="s">
        <v>470</v>
      </c>
      <c r="L284" s="7">
        <v>46146</v>
      </c>
      <c r="M284" s="7">
        <v>46250</v>
      </c>
      <c r="N284" s="10" t="s">
        <v>2493</v>
      </c>
      <c r="O284" s="5" t="s">
        <v>2494</v>
      </c>
      <c r="P284" s="5" t="s">
        <v>2499</v>
      </c>
      <c r="Q284" s="6"/>
      <c r="R284" s="6"/>
      <c r="S284" s="52" t="s">
        <v>2488</v>
      </c>
    </row>
    <row r="285" spans="1:19" x14ac:dyDescent="0.35">
      <c r="A285" s="5" t="s">
        <v>3476</v>
      </c>
      <c r="B285" s="5" t="s">
        <v>3477</v>
      </c>
      <c r="C285" s="5" t="s">
        <v>3478</v>
      </c>
      <c r="D285" s="5" t="s">
        <v>17</v>
      </c>
      <c r="E285" s="5" t="s">
        <v>19</v>
      </c>
      <c r="F285" s="5" t="s">
        <v>241</v>
      </c>
      <c r="G285" s="5" t="s">
        <v>242</v>
      </c>
      <c r="H285" s="5" t="s">
        <v>242</v>
      </c>
      <c r="I285" s="5" t="s">
        <v>702</v>
      </c>
      <c r="J285" s="5" t="s">
        <v>1592</v>
      </c>
      <c r="K285" s="5" t="s">
        <v>470</v>
      </c>
      <c r="L285" s="7">
        <v>46146</v>
      </c>
      <c r="M285" s="7">
        <v>46265</v>
      </c>
      <c r="N285" s="10" t="s">
        <v>2493</v>
      </c>
      <c r="O285" s="5" t="s">
        <v>2486</v>
      </c>
      <c r="P285" s="5" t="s">
        <v>2487</v>
      </c>
      <c r="Q285" s="6"/>
      <c r="R285" s="6"/>
      <c r="S285" s="52" t="s">
        <v>2488</v>
      </c>
    </row>
    <row r="286" spans="1:19" x14ac:dyDescent="0.35">
      <c r="A286" s="5" t="s">
        <v>3479</v>
      </c>
      <c r="B286" s="5" t="s">
        <v>3480</v>
      </c>
      <c r="C286" s="5" t="s">
        <v>3481</v>
      </c>
      <c r="D286" s="5" t="s">
        <v>17</v>
      </c>
      <c r="E286" s="5" t="s">
        <v>19</v>
      </c>
      <c r="F286" s="5" t="s">
        <v>241</v>
      </c>
      <c r="G286" s="5" t="s">
        <v>242</v>
      </c>
      <c r="H286" s="5" t="s">
        <v>242</v>
      </c>
      <c r="I286" s="5" t="s">
        <v>702</v>
      </c>
      <c r="J286" s="5" t="s">
        <v>1592</v>
      </c>
      <c r="K286" s="5" t="s">
        <v>470</v>
      </c>
      <c r="L286" s="7">
        <v>46153</v>
      </c>
      <c r="M286" s="7">
        <v>46234</v>
      </c>
      <c r="N286" s="10" t="s">
        <v>2493</v>
      </c>
      <c r="O286" s="5" t="s">
        <v>2494</v>
      </c>
      <c r="P286" s="5" t="s">
        <v>2538</v>
      </c>
      <c r="Q286" s="6"/>
      <c r="R286" s="6"/>
      <c r="S286" s="52" t="s">
        <v>2488</v>
      </c>
    </row>
    <row r="287" spans="1:19" x14ac:dyDescent="0.35">
      <c r="A287" s="5" t="s">
        <v>3482</v>
      </c>
      <c r="B287" s="5" t="s">
        <v>3483</v>
      </c>
      <c r="C287" s="5" t="s">
        <v>3484</v>
      </c>
      <c r="D287" s="5" t="s">
        <v>17</v>
      </c>
      <c r="E287" s="5" t="s">
        <v>19</v>
      </c>
      <c r="F287" s="5" t="s">
        <v>241</v>
      </c>
      <c r="G287" s="5" t="s">
        <v>242</v>
      </c>
      <c r="H287" s="5" t="s">
        <v>242</v>
      </c>
      <c r="I287" s="5" t="s">
        <v>702</v>
      </c>
      <c r="J287" s="5" t="s">
        <v>1592</v>
      </c>
      <c r="K287" s="5" t="s">
        <v>470</v>
      </c>
      <c r="L287" s="7">
        <v>46153</v>
      </c>
      <c r="M287" s="7">
        <v>46203</v>
      </c>
      <c r="N287" s="10" t="s">
        <v>683</v>
      </c>
      <c r="O287" s="5" t="s">
        <v>2494</v>
      </c>
      <c r="P287" s="5" t="s">
        <v>2573</v>
      </c>
      <c r="Q287" s="6"/>
      <c r="R287" s="6"/>
      <c r="S287" s="52" t="s">
        <v>2488</v>
      </c>
    </row>
    <row r="288" spans="1:19" x14ac:dyDescent="0.35">
      <c r="A288" s="5" t="s">
        <v>3485</v>
      </c>
      <c r="B288" s="5" t="s">
        <v>3486</v>
      </c>
      <c r="C288" s="5" t="s">
        <v>3487</v>
      </c>
      <c r="D288" s="5" t="s">
        <v>17</v>
      </c>
      <c r="E288" s="5" t="s">
        <v>19</v>
      </c>
      <c r="F288" s="5" t="s">
        <v>241</v>
      </c>
      <c r="G288" s="5" t="s">
        <v>242</v>
      </c>
      <c r="H288" s="5" t="s">
        <v>242</v>
      </c>
      <c r="I288" s="5" t="s">
        <v>702</v>
      </c>
      <c r="J288" s="5" t="s">
        <v>1599</v>
      </c>
      <c r="K288" s="5" t="s">
        <v>470</v>
      </c>
      <c r="L288" s="7">
        <v>46153</v>
      </c>
      <c r="M288" s="7">
        <v>46192</v>
      </c>
      <c r="N288" s="10" t="s">
        <v>683</v>
      </c>
      <c r="O288" s="5" t="s">
        <v>2486</v>
      </c>
      <c r="P288" s="5" t="s">
        <v>2547</v>
      </c>
      <c r="Q288" s="6"/>
      <c r="R288" s="6"/>
      <c r="S288" s="52" t="s">
        <v>2488</v>
      </c>
    </row>
    <row r="289" spans="1:19" x14ac:dyDescent="0.35">
      <c r="A289" s="5" t="s">
        <v>3488</v>
      </c>
      <c r="B289" s="5" t="s">
        <v>3489</v>
      </c>
      <c r="C289" s="5" t="s">
        <v>3490</v>
      </c>
      <c r="D289" s="5" t="s">
        <v>28</v>
      </c>
      <c r="E289" s="5" t="s">
        <v>19</v>
      </c>
      <c r="F289" s="5" t="s">
        <v>241</v>
      </c>
      <c r="G289" s="5" t="s">
        <v>242</v>
      </c>
      <c r="H289" s="5" t="s">
        <v>242</v>
      </c>
      <c r="I289" s="5" t="s">
        <v>702</v>
      </c>
      <c r="J289" s="5" t="s">
        <v>1599</v>
      </c>
      <c r="K289" s="5" t="s">
        <v>470</v>
      </c>
      <c r="L289" s="7">
        <v>46149</v>
      </c>
      <c r="M289" s="7">
        <v>46204</v>
      </c>
      <c r="N289" s="10" t="s">
        <v>2493</v>
      </c>
      <c r="O289" s="5" t="s">
        <v>2494</v>
      </c>
      <c r="P289" s="5" t="s">
        <v>2573</v>
      </c>
      <c r="Q289" s="6"/>
      <c r="R289" s="6"/>
      <c r="S289" s="52" t="s">
        <v>2488</v>
      </c>
    </row>
    <row r="290" spans="1:19" x14ac:dyDescent="0.35">
      <c r="A290" s="5" t="s">
        <v>3491</v>
      </c>
      <c r="B290" s="5" t="s">
        <v>3492</v>
      </c>
      <c r="C290" s="5" t="s">
        <v>3493</v>
      </c>
      <c r="D290" s="5" t="s">
        <v>28</v>
      </c>
      <c r="E290" s="5" t="s">
        <v>19</v>
      </c>
      <c r="F290" s="5" t="s">
        <v>241</v>
      </c>
      <c r="G290" s="5" t="s">
        <v>242</v>
      </c>
      <c r="H290" s="5" t="s">
        <v>242</v>
      </c>
      <c r="I290" s="5" t="s">
        <v>702</v>
      </c>
      <c r="J290" s="5" t="s">
        <v>1592</v>
      </c>
      <c r="K290" s="5" t="s">
        <v>470</v>
      </c>
      <c r="L290" s="7">
        <v>46160</v>
      </c>
      <c r="M290" s="7">
        <v>46175</v>
      </c>
      <c r="N290" s="10" t="s">
        <v>683</v>
      </c>
      <c r="O290" s="5" t="s">
        <v>2486</v>
      </c>
      <c r="P290" s="5" t="s">
        <v>3494</v>
      </c>
      <c r="Q290" s="6"/>
      <c r="R290" s="6"/>
      <c r="S290" s="52" t="s">
        <v>2515</v>
      </c>
    </row>
    <row r="291" spans="1:19" x14ac:dyDescent="0.35">
      <c r="A291" s="5" t="s">
        <v>3495</v>
      </c>
      <c r="B291" s="5" t="s">
        <v>3496</v>
      </c>
      <c r="C291" s="5" t="s">
        <v>3497</v>
      </c>
      <c r="D291" s="5" t="s">
        <v>17</v>
      </c>
      <c r="E291" s="5" t="s">
        <v>19</v>
      </c>
      <c r="F291" s="5" t="s">
        <v>241</v>
      </c>
      <c r="G291" s="5" t="s">
        <v>242</v>
      </c>
      <c r="H291" s="5" t="s">
        <v>242</v>
      </c>
      <c r="I291" s="5" t="s">
        <v>138</v>
      </c>
      <c r="J291" s="5" t="s">
        <v>243</v>
      </c>
      <c r="K291" s="5" t="s">
        <v>426</v>
      </c>
      <c r="L291" s="7">
        <v>46155</v>
      </c>
      <c r="M291" s="7">
        <v>46255</v>
      </c>
      <c r="N291" s="10" t="s">
        <v>2493</v>
      </c>
      <c r="O291" s="5" t="s">
        <v>2486</v>
      </c>
      <c r="P291" s="5" t="s">
        <v>2978</v>
      </c>
      <c r="Q291" s="6"/>
      <c r="R291" s="6"/>
      <c r="S291" s="6" t="s">
        <v>2515</v>
      </c>
    </row>
    <row r="292" spans="1:19" x14ac:dyDescent="0.35">
      <c r="A292" s="5" t="s">
        <v>3498</v>
      </c>
      <c r="B292" s="5" t="s">
        <v>3499</v>
      </c>
      <c r="C292" s="5" t="s">
        <v>3500</v>
      </c>
      <c r="D292" s="5" t="s">
        <v>17</v>
      </c>
      <c r="E292" s="5" t="s">
        <v>19</v>
      </c>
      <c r="F292" s="5" t="s">
        <v>241</v>
      </c>
      <c r="G292" s="5" t="s">
        <v>242</v>
      </c>
      <c r="H292" s="5" t="s">
        <v>242</v>
      </c>
      <c r="I292" s="5" t="s">
        <v>702</v>
      </c>
      <c r="J292" s="5" t="s">
        <v>1592</v>
      </c>
      <c r="K292" s="5" t="s">
        <v>470</v>
      </c>
      <c r="L292" s="7">
        <v>46174</v>
      </c>
      <c r="M292" s="7">
        <v>46282</v>
      </c>
      <c r="N292" s="10" t="s">
        <v>2493</v>
      </c>
      <c r="O292" s="5" t="s">
        <v>2486</v>
      </c>
      <c r="P292" s="5" t="s">
        <v>2487</v>
      </c>
      <c r="Q292" s="6"/>
      <c r="R292" s="6"/>
      <c r="S292" s="52" t="s">
        <v>2488</v>
      </c>
    </row>
    <row r="293" spans="1:19" x14ac:dyDescent="0.35">
      <c r="A293" s="5" t="s">
        <v>3501</v>
      </c>
      <c r="B293" s="5" t="s">
        <v>3502</v>
      </c>
      <c r="C293" s="5" t="s">
        <v>3503</v>
      </c>
      <c r="D293" s="5" t="s">
        <v>28</v>
      </c>
      <c r="E293" s="5" t="s">
        <v>19</v>
      </c>
      <c r="F293" s="5" t="s">
        <v>241</v>
      </c>
      <c r="G293" s="5" t="s">
        <v>242</v>
      </c>
      <c r="H293" s="5" t="s">
        <v>242</v>
      </c>
      <c r="I293" s="5" t="s">
        <v>702</v>
      </c>
      <c r="J293" s="5" t="s">
        <v>1592</v>
      </c>
      <c r="K293" s="5" t="s">
        <v>470</v>
      </c>
      <c r="L293" s="7">
        <v>46174</v>
      </c>
      <c r="M293" s="7">
        <v>46282</v>
      </c>
      <c r="N293" s="10" t="s">
        <v>2493</v>
      </c>
      <c r="O293" s="5" t="s">
        <v>2494</v>
      </c>
      <c r="P293" s="5" t="s">
        <v>2581</v>
      </c>
      <c r="Q293" s="6"/>
      <c r="R293" s="6"/>
      <c r="S293" s="52" t="s">
        <v>2582</v>
      </c>
    </row>
    <row r="294" spans="1:19" x14ac:dyDescent="0.35">
      <c r="A294" s="5" t="s">
        <v>3504</v>
      </c>
      <c r="B294" s="5" t="s">
        <v>3505</v>
      </c>
      <c r="C294" s="5" t="s">
        <v>3506</v>
      </c>
      <c r="D294" s="5" t="s">
        <v>17</v>
      </c>
      <c r="E294" s="5" t="s">
        <v>156</v>
      </c>
      <c r="F294" s="5" t="s">
        <v>50</v>
      </c>
      <c r="G294" s="53" t="s">
        <v>2476</v>
      </c>
      <c r="H294" s="5" t="s">
        <v>3605</v>
      </c>
      <c r="I294" s="5"/>
      <c r="J294" s="5" t="s">
        <v>230</v>
      </c>
      <c r="K294" s="5" t="s">
        <v>250</v>
      </c>
      <c r="L294" s="7">
        <v>46176</v>
      </c>
      <c r="M294" s="7">
        <v>46274</v>
      </c>
      <c r="N294" s="10" t="s">
        <v>2493</v>
      </c>
      <c r="O294" s="5" t="s">
        <v>2486</v>
      </c>
      <c r="P294" s="5" t="s">
        <v>2547</v>
      </c>
      <c r="Q294" s="6"/>
      <c r="R294" s="6"/>
      <c r="S294" s="6" t="s">
        <v>2473</v>
      </c>
    </row>
    <row r="295" spans="1:19" x14ac:dyDescent="0.35">
      <c r="A295" s="5" t="s">
        <v>3507</v>
      </c>
      <c r="B295" s="5" t="s">
        <v>3508</v>
      </c>
      <c r="C295" s="5" t="s">
        <v>3509</v>
      </c>
      <c r="D295" s="5" t="s">
        <v>17</v>
      </c>
      <c r="E295" s="5" t="s">
        <v>130</v>
      </c>
      <c r="F295" s="5" t="s">
        <v>241</v>
      </c>
      <c r="G295" s="5" t="s">
        <v>242</v>
      </c>
      <c r="H295" s="5" t="s">
        <v>242</v>
      </c>
      <c r="I295" s="5" t="s">
        <v>282</v>
      </c>
      <c r="J295" s="5" t="s">
        <v>1560</v>
      </c>
      <c r="K295" s="5" t="s">
        <v>426</v>
      </c>
      <c r="L295" s="7">
        <v>46167</v>
      </c>
      <c r="M295" s="7">
        <v>46286</v>
      </c>
      <c r="N295" s="10" t="s">
        <v>2493</v>
      </c>
      <c r="O295" s="5" t="s">
        <v>2486</v>
      </c>
      <c r="P295" s="5" t="s">
        <v>2581</v>
      </c>
      <c r="Q295" s="6"/>
      <c r="R295" s="6"/>
      <c r="S295" s="52" t="s">
        <v>2582</v>
      </c>
    </row>
    <row r="296" spans="1:19" x14ac:dyDescent="0.35">
      <c r="A296" s="5" t="s">
        <v>3510</v>
      </c>
      <c r="B296" s="5" t="s">
        <v>3511</v>
      </c>
      <c r="C296" s="5" t="s">
        <v>3512</v>
      </c>
      <c r="D296" s="5" t="s">
        <v>17</v>
      </c>
      <c r="E296" s="5" t="s">
        <v>19</v>
      </c>
      <c r="F296" s="5" t="s">
        <v>241</v>
      </c>
      <c r="G296" s="5" t="s">
        <v>242</v>
      </c>
      <c r="H296" s="5" t="s">
        <v>242</v>
      </c>
      <c r="I296" s="5" t="s">
        <v>702</v>
      </c>
      <c r="J296" s="5" t="s">
        <v>1592</v>
      </c>
      <c r="K296" s="5" t="s">
        <v>470</v>
      </c>
      <c r="L296" s="7">
        <v>46181</v>
      </c>
      <c r="M296" s="7">
        <v>46218</v>
      </c>
      <c r="N296" s="10" t="s">
        <v>2493</v>
      </c>
      <c r="O296" s="5" t="s">
        <v>2486</v>
      </c>
      <c r="P296" s="5" t="s">
        <v>2581</v>
      </c>
      <c r="Q296" s="6"/>
      <c r="R296" s="6"/>
      <c r="S296" s="52" t="s">
        <v>2582</v>
      </c>
    </row>
    <row r="297" spans="1:19" x14ac:dyDescent="0.35">
      <c r="A297" s="5" t="s">
        <v>3513</v>
      </c>
      <c r="B297" s="5" t="s">
        <v>3514</v>
      </c>
      <c r="C297" s="5" t="s">
        <v>3515</v>
      </c>
      <c r="D297" s="5" t="s">
        <v>28</v>
      </c>
      <c r="E297" s="5" t="s">
        <v>19</v>
      </c>
      <c r="F297" s="5" t="s">
        <v>241</v>
      </c>
      <c r="G297" s="5" t="s">
        <v>242</v>
      </c>
      <c r="H297" s="5" t="s">
        <v>242</v>
      </c>
      <c r="I297" s="5" t="s">
        <v>702</v>
      </c>
      <c r="J297" s="5" t="s">
        <v>1592</v>
      </c>
      <c r="K297" s="5" t="s">
        <v>470</v>
      </c>
      <c r="L297" s="7">
        <v>46181</v>
      </c>
      <c r="M297" s="7">
        <v>46181</v>
      </c>
      <c r="N297" s="10" t="s">
        <v>683</v>
      </c>
      <c r="O297" s="5" t="s">
        <v>2494</v>
      </c>
      <c r="P297" s="5" t="s">
        <v>3516</v>
      </c>
      <c r="Q297" s="6"/>
      <c r="R297" s="6"/>
      <c r="S297" s="52" t="s">
        <v>2515</v>
      </c>
    </row>
    <row r="298" spans="1:19" x14ac:dyDescent="0.35">
      <c r="A298" s="5" t="s">
        <v>3517</v>
      </c>
      <c r="B298" s="5" t="s">
        <v>3518</v>
      </c>
      <c r="C298" s="5" t="s">
        <v>3519</v>
      </c>
      <c r="D298" s="5" t="s">
        <v>17</v>
      </c>
      <c r="E298" s="5" t="s">
        <v>156</v>
      </c>
      <c r="F298" s="5" t="s">
        <v>241</v>
      </c>
      <c r="G298" s="5" t="s">
        <v>242</v>
      </c>
      <c r="H298" s="5" t="s">
        <v>242</v>
      </c>
      <c r="I298" s="5" t="s">
        <v>39</v>
      </c>
      <c r="J298" s="5" t="s">
        <v>3520</v>
      </c>
      <c r="K298" s="5" t="s">
        <v>470</v>
      </c>
      <c r="L298" s="7">
        <v>46181</v>
      </c>
      <c r="M298" s="7">
        <v>46234</v>
      </c>
      <c r="N298" s="10" t="s">
        <v>2493</v>
      </c>
      <c r="O298" s="5" t="s">
        <v>2486</v>
      </c>
      <c r="P298" s="5" t="s">
        <v>2581</v>
      </c>
      <c r="Q298" s="6"/>
      <c r="R298" s="6"/>
      <c r="S298" s="52" t="s">
        <v>2582</v>
      </c>
    </row>
    <row r="299" spans="1:19" x14ac:dyDescent="0.35">
      <c r="A299" s="5" t="s">
        <v>3521</v>
      </c>
      <c r="B299" s="5" t="s">
        <v>3522</v>
      </c>
      <c r="C299" s="5" t="s">
        <v>3523</v>
      </c>
      <c r="D299" s="5" t="s">
        <v>17</v>
      </c>
      <c r="E299" s="5" t="s">
        <v>19</v>
      </c>
      <c r="F299" s="5" t="s">
        <v>29</v>
      </c>
      <c r="G299" s="5" t="s">
        <v>395</v>
      </c>
      <c r="H299" s="5" t="s">
        <v>395</v>
      </c>
      <c r="I299" s="5"/>
      <c r="J299" s="5" t="s">
        <v>1739</v>
      </c>
      <c r="K299" s="5" t="s">
        <v>1117</v>
      </c>
      <c r="L299" s="7">
        <v>46195</v>
      </c>
      <c r="M299" s="7">
        <v>46239</v>
      </c>
      <c r="N299" s="10" t="s">
        <v>2493</v>
      </c>
      <c r="O299" s="5" t="s">
        <v>2486</v>
      </c>
      <c r="P299" s="5" t="s">
        <v>2547</v>
      </c>
      <c r="Q299" s="6" t="s">
        <v>807</v>
      </c>
      <c r="R299" s="6" t="s">
        <v>18</v>
      </c>
      <c r="S299" s="6" t="s">
        <v>3245</v>
      </c>
    </row>
    <row r="300" spans="1:19" x14ac:dyDescent="0.35">
      <c r="A300" s="5" t="s">
        <v>3524</v>
      </c>
      <c r="B300" s="5" t="s">
        <v>3525</v>
      </c>
      <c r="C300" s="5" t="s">
        <v>3526</v>
      </c>
      <c r="D300" s="5" t="s">
        <v>17</v>
      </c>
      <c r="E300" s="5" t="s">
        <v>156</v>
      </c>
      <c r="F300" s="5" t="s">
        <v>50</v>
      </c>
      <c r="G300" s="53" t="s">
        <v>2476</v>
      </c>
      <c r="H300" s="5" t="s">
        <v>3605</v>
      </c>
      <c r="I300" s="5"/>
      <c r="J300" s="5" t="s">
        <v>230</v>
      </c>
      <c r="K300" s="5" t="s">
        <v>527</v>
      </c>
      <c r="L300" s="7">
        <v>46195</v>
      </c>
      <c r="M300" s="7">
        <v>46290</v>
      </c>
      <c r="N300" s="10" t="s">
        <v>2493</v>
      </c>
      <c r="O300" s="5" t="s">
        <v>2486</v>
      </c>
      <c r="P300" s="5" t="s">
        <v>2547</v>
      </c>
      <c r="Q300" s="6"/>
      <c r="R300" s="6"/>
      <c r="S300" s="6" t="s">
        <v>2473</v>
      </c>
    </row>
    <row r="301" spans="1:19" x14ac:dyDescent="0.35">
      <c r="A301" s="5" t="s">
        <v>3527</v>
      </c>
      <c r="B301" s="5" t="s">
        <v>3528</v>
      </c>
      <c r="C301" s="5" t="s">
        <v>3529</v>
      </c>
      <c r="D301" s="5" t="s">
        <v>28</v>
      </c>
      <c r="E301" s="5" t="s">
        <v>19</v>
      </c>
      <c r="F301" s="5" t="s">
        <v>29</v>
      </c>
      <c r="G301" s="5" t="s">
        <v>395</v>
      </c>
      <c r="H301" s="5" t="s">
        <v>395</v>
      </c>
      <c r="I301" s="5"/>
      <c r="J301" s="5" t="s">
        <v>1743</v>
      </c>
      <c r="K301" s="5" t="s">
        <v>1117</v>
      </c>
      <c r="L301" s="7">
        <v>46196</v>
      </c>
      <c r="M301" s="7">
        <v>46213</v>
      </c>
      <c r="N301" s="10" t="s">
        <v>2493</v>
      </c>
      <c r="O301" s="5" t="s">
        <v>2494</v>
      </c>
      <c r="P301" s="5" t="s">
        <v>2538</v>
      </c>
      <c r="Q301" s="6" t="s">
        <v>807</v>
      </c>
      <c r="R301" s="6" t="s">
        <v>18</v>
      </c>
      <c r="S301" s="6" t="s">
        <v>3245</v>
      </c>
    </row>
    <row r="302" spans="1:19" x14ac:dyDescent="0.35">
      <c r="A302" s="5" t="s">
        <v>3530</v>
      </c>
      <c r="B302" s="5" t="s">
        <v>3531</v>
      </c>
      <c r="C302" s="5" t="s">
        <v>3532</v>
      </c>
      <c r="D302" s="5" t="s">
        <v>28</v>
      </c>
      <c r="E302" s="5" t="s">
        <v>19</v>
      </c>
      <c r="F302" s="5" t="s">
        <v>241</v>
      </c>
      <c r="G302" s="5" t="s">
        <v>242</v>
      </c>
      <c r="H302" s="5" t="s">
        <v>242</v>
      </c>
      <c r="I302" s="5" t="s">
        <v>702</v>
      </c>
      <c r="J302" s="5" t="s">
        <v>1592</v>
      </c>
      <c r="K302" s="5" t="s">
        <v>470</v>
      </c>
      <c r="L302" s="7">
        <v>46202</v>
      </c>
      <c r="M302" s="7">
        <v>46233</v>
      </c>
      <c r="N302" s="10" t="s">
        <v>2493</v>
      </c>
      <c r="O302" s="5" t="s">
        <v>2486</v>
      </c>
      <c r="P302" s="5" t="s">
        <v>2581</v>
      </c>
      <c r="Q302" s="6"/>
      <c r="R302" s="6"/>
      <c r="S302" s="52" t="s">
        <v>2582</v>
      </c>
    </row>
    <row r="303" spans="1:19" x14ac:dyDescent="0.35">
      <c r="A303" s="5" t="s">
        <v>3533</v>
      </c>
      <c r="B303" s="5" t="s">
        <v>3534</v>
      </c>
      <c r="C303" s="5" t="s">
        <v>3535</v>
      </c>
      <c r="D303" s="5" t="s">
        <v>28</v>
      </c>
      <c r="E303" s="5" t="s">
        <v>19</v>
      </c>
      <c r="F303" s="5" t="s">
        <v>241</v>
      </c>
      <c r="G303" s="5" t="s">
        <v>242</v>
      </c>
      <c r="H303" s="5" t="s">
        <v>242</v>
      </c>
      <c r="I303" s="5" t="s">
        <v>702</v>
      </c>
      <c r="J303" s="5" t="s">
        <v>1592</v>
      </c>
      <c r="K303" s="5" t="s">
        <v>470</v>
      </c>
      <c r="L303" s="7">
        <v>46202</v>
      </c>
      <c r="M303" s="7">
        <v>46234</v>
      </c>
      <c r="N303" s="10" t="s">
        <v>2493</v>
      </c>
      <c r="O303" s="5" t="s">
        <v>2486</v>
      </c>
      <c r="P303" s="5" t="s">
        <v>2538</v>
      </c>
      <c r="Q303" s="6"/>
      <c r="R303" s="6"/>
      <c r="S303" s="52" t="s">
        <v>2488</v>
      </c>
    </row>
    <row r="304" spans="1:19" x14ac:dyDescent="0.35">
      <c r="A304" s="5" t="s">
        <v>3536</v>
      </c>
      <c r="B304" s="5" t="s">
        <v>3537</v>
      </c>
      <c r="C304" s="5" t="s">
        <v>3538</v>
      </c>
      <c r="D304" s="5" t="s">
        <v>28</v>
      </c>
      <c r="E304" s="5" t="s">
        <v>19</v>
      </c>
      <c r="F304" s="5" t="s">
        <v>241</v>
      </c>
      <c r="G304" s="5" t="s">
        <v>242</v>
      </c>
      <c r="H304" s="5" t="s">
        <v>242</v>
      </c>
      <c r="I304" s="5" t="s">
        <v>702</v>
      </c>
      <c r="J304" s="5" t="s">
        <v>1592</v>
      </c>
      <c r="K304" s="5" t="s">
        <v>470</v>
      </c>
      <c r="L304" s="7">
        <v>46209</v>
      </c>
      <c r="M304" s="7">
        <v>46255</v>
      </c>
      <c r="N304" s="10" t="s">
        <v>2493</v>
      </c>
      <c r="O304" s="5" t="s">
        <v>2494</v>
      </c>
      <c r="P304" s="5" t="s">
        <v>2538</v>
      </c>
      <c r="Q304" s="6"/>
      <c r="R304" s="6"/>
      <c r="S304" s="52" t="s">
        <v>2488</v>
      </c>
    </row>
    <row r="305" spans="1:19" x14ac:dyDescent="0.35">
      <c r="A305" s="5" t="s">
        <v>3539</v>
      </c>
      <c r="B305" s="5" t="s">
        <v>3540</v>
      </c>
      <c r="C305" s="5" t="s">
        <v>3541</v>
      </c>
      <c r="D305" s="5" t="s">
        <v>28</v>
      </c>
      <c r="E305" s="5" t="s">
        <v>19</v>
      </c>
      <c r="F305" s="5" t="s">
        <v>50</v>
      </c>
      <c r="G305" s="53" t="s">
        <v>2476</v>
      </c>
      <c r="H305" s="5" t="s">
        <v>3605</v>
      </c>
      <c r="I305" s="5"/>
      <c r="J305" s="5" t="s">
        <v>370</v>
      </c>
      <c r="K305" s="5" t="s">
        <v>1542</v>
      </c>
      <c r="L305" s="7">
        <v>46216</v>
      </c>
      <c r="M305" s="7">
        <v>46224</v>
      </c>
      <c r="N305" s="10" t="s">
        <v>2493</v>
      </c>
      <c r="O305" s="5" t="s">
        <v>2494</v>
      </c>
      <c r="P305" s="5" t="s">
        <v>2819</v>
      </c>
      <c r="Q305" s="6"/>
      <c r="R305" s="6"/>
      <c r="S305" s="6" t="s">
        <v>2473</v>
      </c>
    </row>
    <row r="306" spans="1:19" x14ac:dyDescent="0.35">
      <c r="A306" s="5" t="s">
        <v>3542</v>
      </c>
      <c r="B306" s="5" t="s">
        <v>3543</v>
      </c>
      <c r="C306" s="5" t="s">
        <v>3544</v>
      </c>
      <c r="D306" s="5" t="s">
        <v>28</v>
      </c>
      <c r="E306" s="5" t="s">
        <v>19</v>
      </c>
      <c r="F306" s="5" t="s">
        <v>29</v>
      </c>
      <c r="G306" s="5" t="s">
        <v>395</v>
      </c>
      <c r="H306" s="5" t="s">
        <v>395</v>
      </c>
      <c r="I306" s="5"/>
      <c r="J306" s="5" t="s">
        <v>3545</v>
      </c>
      <c r="K306" s="5" t="s">
        <v>1117</v>
      </c>
      <c r="L306" s="7">
        <v>46219</v>
      </c>
      <c r="M306" s="7">
        <v>46295</v>
      </c>
      <c r="N306" s="10" t="s">
        <v>2493</v>
      </c>
      <c r="O306" s="5" t="s">
        <v>2486</v>
      </c>
      <c r="P306" s="5" t="s">
        <v>3546</v>
      </c>
      <c r="Q306" s="6" t="s">
        <v>807</v>
      </c>
      <c r="R306" s="6" t="s">
        <v>18</v>
      </c>
      <c r="S306" s="6" t="s">
        <v>3245</v>
      </c>
    </row>
    <row r="307" spans="1:19" x14ac:dyDescent="0.35">
      <c r="A307" s="5" t="s">
        <v>3547</v>
      </c>
      <c r="B307" s="5" t="s">
        <v>3548</v>
      </c>
      <c r="C307" s="5" t="s">
        <v>3549</v>
      </c>
      <c r="D307" s="5" t="s">
        <v>17</v>
      </c>
      <c r="E307" s="5" t="s">
        <v>130</v>
      </c>
      <c r="F307" s="5" t="s">
        <v>241</v>
      </c>
      <c r="G307" s="5" t="s">
        <v>242</v>
      </c>
      <c r="H307" s="5" t="s">
        <v>242</v>
      </c>
      <c r="I307" s="5" t="s">
        <v>282</v>
      </c>
      <c r="J307" s="5" t="s">
        <v>3218</v>
      </c>
      <c r="K307" s="5" t="s">
        <v>244</v>
      </c>
      <c r="L307" s="7">
        <v>46216</v>
      </c>
      <c r="M307" s="7">
        <v>46286</v>
      </c>
      <c r="N307" s="10" t="s">
        <v>2493</v>
      </c>
      <c r="O307" s="5" t="s">
        <v>2486</v>
      </c>
      <c r="P307" s="5" t="s">
        <v>2547</v>
      </c>
      <c r="Q307" s="6"/>
      <c r="R307" s="6"/>
      <c r="S307" s="52" t="s">
        <v>2488</v>
      </c>
    </row>
    <row r="308" spans="1:19" x14ac:dyDescent="0.35">
      <c r="A308" s="5" t="s">
        <v>3550</v>
      </c>
      <c r="B308" s="5" t="s">
        <v>3551</v>
      </c>
      <c r="C308" s="5" t="s">
        <v>3552</v>
      </c>
      <c r="D308" s="5" t="s">
        <v>28</v>
      </c>
      <c r="E308" s="5" t="s">
        <v>130</v>
      </c>
      <c r="F308" s="5" t="s">
        <v>241</v>
      </c>
      <c r="G308" s="5" t="s">
        <v>242</v>
      </c>
      <c r="H308" s="5" t="s">
        <v>242</v>
      </c>
      <c r="I308" s="5" t="s">
        <v>282</v>
      </c>
      <c r="J308" s="5" t="s">
        <v>1560</v>
      </c>
      <c r="K308" s="5" t="s">
        <v>470</v>
      </c>
      <c r="L308" s="7">
        <v>46216</v>
      </c>
      <c r="M308" s="7">
        <v>46286</v>
      </c>
      <c r="N308" s="10" t="s">
        <v>2493</v>
      </c>
      <c r="O308" s="5" t="s">
        <v>2486</v>
      </c>
      <c r="P308" s="5" t="s">
        <v>2547</v>
      </c>
      <c r="Q308" s="6"/>
      <c r="R308" s="6"/>
      <c r="S308" s="52" t="s">
        <v>2488</v>
      </c>
    </row>
    <row r="309" spans="1:19" x14ac:dyDescent="0.35">
      <c r="A309" s="5" t="s">
        <v>3553</v>
      </c>
      <c r="B309" s="5" t="s">
        <v>3554</v>
      </c>
      <c r="C309" s="5" t="s">
        <v>3555</v>
      </c>
      <c r="D309" s="5" t="s">
        <v>28</v>
      </c>
      <c r="E309" s="5" t="s">
        <v>130</v>
      </c>
      <c r="F309" s="5" t="s">
        <v>241</v>
      </c>
      <c r="G309" s="5" t="s">
        <v>242</v>
      </c>
      <c r="H309" s="5" t="s">
        <v>242</v>
      </c>
      <c r="I309" s="5" t="s">
        <v>282</v>
      </c>
      <c r="J309" s="5" t="s">
        <v>1560</v>
      </c>
      <c r="K309" s="5" t="s">
        <v>244</v>
      </c>
      <c r="L309" s="7">
        <v>46216</v>
      </c>
      <c r="M309" s="7">
        <v>46286</v>
      </c>
      <c r="N309" s="10" t="s">
        <v>2493</v>
      </c>
      <c r="O309" s="5" t="s">
        <v>2486</v>
      </c>
      <c r="P309" s="5" t="s">
        <v>2547</v>
      </c>
      <c r="Q309" s="6"/>
      <c r="R309" s="6"/>
      <c r="S309" s="52" t="s">
        <v>2488</v>
      </c>
    </row>
    <row r="310" spans="1:19" x14ac:dyDescent="0.35">
      <c r="A310" s="5" t="s">
        <v>3556</v>
      </c>
      <c r="B310" s="5" t="s">
        <v>3557</v>
      </c>
      <c r="C310" s="5" t="s">
        <v>3558</v>
      </c>
      <c r="D310" s="5" t="s">
        <v>28</v>
      </c>
      <c r="E310" s="5" t="s">
        <v>130</v>
      </c>
      <c r="F310" s="5" t="s">
        <v>241</v>
      </c>
      <c r="G310" s="5" t="s">
        <v>242</v>
      </c>
      <c r="H310" s="5" t="s">
        <v>242</v>
      </c>
      <c r="I310" s="5" t="s">
        <v>282</v>
      </c>
      <c r="J310" s="5" t="s">
        <v>1560</v>
      </c>
      <c r="K310" s="5" t="s">
        <v>244</v>
      </c>
      <c r="L310" s="7">
        <v>46216</v>
      </c>
      <c r="M310" s="7">
        <v>46234</v>
      </c>
      <c r="N310" s="10" t="s">
        <v>2493</v>
      </c>
      <c r="O310" s="5" t="s">
        <v>2494</v>
      </c>
      <c r="P310" s="5" t="s">
        <v>2573</v>
      </c>
      <c r="Q310" s="6"/>
      <c r="R310" s="6"/>
      <c r="S310" s="52" t="s">
        <v>2488</v>
      </c>
    </row>
    <row r="311" spans="1:19" x14ac:dyDescent="0.35">
      <c r="A311" s="5" t="s">
        <v>3559</v>
      </c>
      <c r="B311" s="5" t="s">
        <v>3560</v>
      </c>
      <c r="C311" s="5" t="s">
        <v>3561</v>
      </c>
      <c r="D311" s="5" t="s">
        <v>28</v>
      </c>
      <c r="E311" s="5" t="s">
        <v>19</v>
      </c>
      <c r="F311" s="5" t="s">
        <v>241</v>
      </c>
      <c r="G311" s="5" t="s">
        <v>242</v>
      </c>
      <c r="H311" s="5" t="s">
        <v>242</v>
      </c>
      <c r="I311" s="5" t="s">
        <v>702</v>
      </c>
      <c r="J311" s="5" t="s">
        <v>3562</v>
      </c>
      <c r="K311" s="5" t="s">
        <v>470</v>
      </c>
      <c r="L311" s="7">
        <v>46232</v>
      </c>
      <c r="M311" s="7">
        <v>46262</v>
      </c>
      <c r="N311" s="10" t="s">
        <v>2493</v>
      </c>
      <c r="O311" s="5" t="s">
        <v>2494</v>
      </c>
      <c r="P311" s="5" t="s">
        <v>2573</v>
      </c>
      <c r="Q311" s="6"/>
      <c r="R311" s="6"/>
      <c r="S311" s="52" t="s">
        <v>2488</v>
      </c>
    </row>
    <row r="312" spans="1:19" x14ac:dyDescent="0.35">
      <c r="A312" s="5" t="s">
        <v>3563</v>
      </c>
      <c r="B312" s="5" t="s">
        <v>3564</v>
      </c>
      <c r="C312" s="5" t="s">
        <v>3565</v>
      </c>
      <c r="D312" s="5" t="s">
        <v>17</v>
      </c>
      <c r="E312" s="5" t="s">
        <v>19</v>
      </c>
      <c r="F312" s="5" t="s">
        <v>241</v>
      </c>
      <c r="G312" s="5" t="s">
        <v>242</v>
      </c>
      <c r="H312" s="5" t="s">
        <v>242</v>
      </c>
      <c r="I312" s="5" t="s">
        <v>702</v>
      </c>
      <c r="J312" s="5" t="s">
        <v>1592</v>
      </c>
      <c r="K312" s="5" t="s">
        <v>470</v>
      </c>
      <c r="L312" s="7">
        <v>46237</v>
      </c>
      <c r="M312" s="7">
        <v>46289</v>
      </c>
      <c r="N312" s="10" t="s">
        <v>2493</v>
      </c>
      <c r="O312" s="5" t="s">
        <v>2486</v>
      </c>
      <c r="P312" s="5" t="s">
        <v>2487</v>
      </c>
      <c r="Q312" s="6"/>
      <c r="R312" s="6"/>
      <c r="S312" s="52" t="s">
        <v>2488</v>
      </c>
    </row>
    <row r="313" spans="1:19" x14ac:dyDescent="0.35">
      <c r="A313" s="5" t="s">
        <v>2141</v>
      </c>
      <c r="B313" s="5" t="s">
        <v>2142</v>
      </c>
      <c r="C313" s="5" t="s">
        <v>2143</v>
      </c>
      <c r="D313" s="5" t="s">
        <v>17</v>
      </c>
      <c r="E313" s="5" t="s">
        <v>19</v>
      </c>
      <c r="F313" s="5" t="s">
        <v>29</v>
      </c>
      <c r="G313" s="5" t="s">
        <v>395</v>
      </c>
      <c r="H313" s="5" t="s">
        <v>395</v>
      </c>
      <c r="I313" s="5"/>
      <c r="J313" s="5" t="s">
        <v>438</v>
      </c>
      <c r="K313" s="5" t="s">
        <v>188</v>
      </c>
      <c r="L313" s="7">
        <v>46267</v>
      </c>
      <c r="M313" s="7">
        <v>46297</v>
      </c>
      <c r="N313" s="10" t="s">
        <v>2777</v>
      </c>
      <c r="O313" s="5" t="s">
        <v>2494</v>
      </c>
      <c r="P313" s="5" t="s">
        <v>2996</v>
      </c>
      <c r="Q313" s="6" t="s">
        <v>2529</v>
      </c>
      <c r="R313" s="6" t="s">
        <v>18</v>
      </c>
      <c r="S313" s="6" t="s">
        <v>2473</v>
      </c>
    </row>
    <row r="314" spans="1:19" x14ac:dyDescent="0.35">
      <c r="A314" s="5" t="s">
        <v>3566</v>
      </c>
      <c r="B314" s="5" t="s">
        <v>3567</v>
      </c>
      <c r="C314" s="5" t="s">
        <v>3568</v>
      </c>
      <c r="D314" s="5" t="s">
        <v>17</v>
      </c>
      <c r="E314" s="5" t="s">
        <v>19</v>
      </c>
      <c r="F314" s="5" t="s">
        <v>29</v>
      </c>
      <c r="G314" s="5" t="s">
        <v>395</v>
      </c>
      <c r="H314" s="5" t="s">
        <v>395</v>
      </c>
      <c r="I314" s="5"/>
      <c r="J314" s="5" t="s">
        <v>187</v>
      </c>
      <c r="K314" s="5" t="s">
        <v>1117</v>
      </c>
      <c r="L314" s="7">
        <v>46274</v>
      </c>
      <c r="M314" s="7">
        <v>46287</v>
      </c>
      <c r="N314" s="10" t="s">
        <v>2493</v>
      </c>
      <c r="O314" s="5" t="s">
        <v>2486</v>
      </c>
      <c r="P314" s="5" t="s">
        <v>3546</v>
      </c>
      <c r="Q314" s="6" t="s">
        <v>807</v>
      </c>
      <c r="R314" s="6" t="s">
        <v>18</v>
      </c>
      <c r="S314" s="6" t="s">
        <v>3245</v>
      </c>
    </row>
    <row r="315" spans="1:19" x14ac:dyDescent="0.35">
      <c r="A315" s="5" t="s">
        <v>3569</v>
      </c>
      <c r="B315" s="5" t="s">
        <v>3570</v>
      </c>
      <c r="C315" s="5" t="s">
        <v>3571</v>
      </c>
      <c r="D315" s="5" t="s">
        <v>17</v>
      </c>
      <c r="E315" s="5" t="s">
        <v>19</v>
      </c>
      <c r="F315" s="5" t="s">
        <v>50</v>
      </c>
      <c r="G315" s="53" t="s">
        <v>2476</v>
      </c>
      <c r="H315" s="5" t="s">
        <v>3605</v>
      </c>
      <c r="I315" s="5"/>
      <c r="J315" s="5" t="s">
        <v>230</v>
      </c>
      <c r="K315" s="5" t="s">
        <v>1542</v>
      </c>
      <c r="L315" s="7">
        <v>46279</v>
      </c>
      <c r="M315" s="7">
        <v>46290</v>
      </c>
      <c r="N315" s="10" t="s">
        <v>2493</v>
      </c>
      <c r="O315" s="5" t="s">
        <v>2486</v>
      </c>
      <c r="P315" s="5" t="s">
        <v>3572</v>
      </c>
      <c r="Q315" s="6"/>
      <c r="R315" s="6"/>
      <c r="S315" s="6" t="s">
        <v>2473</v>
      </c>
    </row>
    <row r="316" spans="1:19" x14ac:dyDescent="0.35">
      <c r="A316" s="5" t="s">
        <v>3573</v>
      </c>
      <c r="B316" s="5" t="s">
        <v>3574</v>
      </c>
      <c r="C316" s="5" t="s">
        <v>3575</v>
      </c>
      <c r="D316" s="5" t="s">
        <v>17</v>
      </c>
      <c r="E316" s="5" t="s">
        <v>156</v>
      </c>
      <c r="F316" s="5" t="s">
        <v>241</v>
      </c>
      <c r="G316" s="5" t="s">
        <v>242</v>
      </c>
      <c r="H316" s="5" t="s">
        <v>242</v>
      </c>
      <c r="I316" s="5" t="s">
        <v>1026</v>
      </c>
      <c r="J316" s="5" t="s">
        <v>3576</v>
      </c>
      <c r="K316" s="5" t="s">
        <v>244</v>
      </c>
      <c r="L316" s="7">
        <v>46284</v>
      </c>
      <c r="M316" s="7">
        <v>46304</v>
      </c>
      <c r="N316" s="10" t="s">
        <v>2777</v>
      </c>
      <c r="O316" s="5" t="s">
        <v>2486</v>
      </c>
      <c r="P316" s="5" t="s">
        <v>3577</v>
      </c>
      <c r="Q316" s="6"/>
      <c r="R316" s="6"/>
      <c r="S316" s="6" t="s">
        <v>2515</v>
      </c>
    </row>
    <row r="317" spans="1:19" x14ac:dyDescent="0.35">
      <c r="A317" s="5" t="s">
        <v>3578</v>
      </c>
      <c r="B317" s="5" t="s">
        <v>3579</v>
      </c>
      <c r="C317" s="5" t="s">
        <v>3580</v>
      </c>
      <c r="D317" s="5" t="s">
        <v>17</v>
      </c>
      <c r="E317" s="5" t="s">
        <v>130</v>
      </c>
      <c r="F317" s="5" t="s">
        <v>241</v>
      </c>
      <c r="G317" s="5" t="s">
        <v>242</v>
      </c>
      <c r="H317" s="5" t="s">
        <v>242</v>
      </c>
      <c r="I317" s="5" t="s">
        <v>282</v>
      </c>
      <c r="J317" s="5" t="s">
        <v>1560</v>
      </c>
      <c r="K317" s="5" t="s">
        <v>244</v>
      </c>
      <c r="L317" s="7">
        <v>46286</v>
      </c>
      <c r="M317" s="7">
        <v>46287</v>
      </c>
      <c r="N317" s="10" t="s">
        <v>2493</v>
      </c>
      <c r="O317" s="5" t="s">
        <v>2486</v>
      </c>
      <c r="P317" s="5" t="s">
        <v>3577</v>
      </c>
      <c r="Q317" s="6"/>
      <c r="R317" s="6"/>
      <c r="S317" s="52" t="s">
        <v>2488</v>
      </c>
    </row>
    <row r="318" spans="1:19" x14ac:dyDescent="0.35">
      <c r="A318" s="5" t="s">
        <v>3581</v>
      </c>
      <c r="B318" s="5" t="s">
        <v>3582</v>
      </c>
      <c r="C318" s="5" t="s">
        <v>3583</v>
      </c>
      <c r="D318" s="5" t="s">
        <v>28</v>
      </c>
      <c r="E318" s="5" t="s">
        <v>19</v>
      </c>
      <c r="F318" s="5" t="s">
        <v>29</v>
      </c>
      <c r="G318" s="5" t="s">
        <v>395</v>
      </c>
      <c r="H318" s="5" t="s">
        <v>395</v>
      </c>
      <c r="I318" s="5"/>
      <c r="J318" s="5" t="s">
        <v>2453</v>
      </c>
      <c r="K318" s="5" t="s">
        <v>188</v>
      </c>
      <c r="L318" s="7">
        <v>45873</v>
      </c>
      <c r="M318" s="7">
        <v>46057</v>
      </c>
      <c r="N318" s="10" t="s">
        <v>2485</v>
      </c>
      <c r="O318" s="5" t="s">
        <v>2494</v>
      </c>
      <c r="P318" s="5" t="s">
        <v>2581</v>
      </c>
      <c r="Q318" s="6" t="s">
        <v>3584</v>
      </c>
      <c r="R318" s="6" t="s">
        <v>18</v>
      </c>
      <c r="S318" s="52" t="s">
        <v>2582</v>
      </c>
    </row>
    <row r="319" spans="1:19" x14ac:dyDescent="0.35">
      <c r="A319" s="5" t="s">
        <v>3585</v>
      </c>
      <c r="B319" s="5" t="s">
        <v>3586</v>
      </c>
      <c r="C319" s="5" t="s">
        <v>3587</v>
      </c>
      <c r="D319" s="5" t="s">
        <v>17</v>
      </c>
      <c r="E319" s="5" t="s">
        <v>156</v>
      </c>
      <c r="F319" s="5" t="s">
        <v>20</v>
      </c>
      <c r="G319" s="5" t="s">
        <v>20</v>
      </c>
      <c r="H319" s="5" t="s">
        <v>20</v>
      </c>
      <c r="I319" s="5" t="s">
        <v>157</v>
      </c>
      <c r="J319" s="5" t="s">
        <v>2457</v>
      </c>
      <c r="K319" s="5" t="s">
        <v>154</v>
      </c>
      <c r="L319" s="7">
        <v>45975</v>
      </c>
      <c r="M319" s="7">
        <v>46042</v>
      </c>
      <c r="N319" s="10" t="s">
        <v>2485</v>
      </c>
      <c r="O319" s="5" t="s">
        <v>2494</v>
      </c>
      <c r="P319" s="5" t="s">
        <v>2538</v>
      </c>
      <c r="Q319" s="6"/>
      <c r="R319" s="6"/>
      <c r="S319" s="6" t="s">
        <v>2515</v>
      </c>
    </row>
    <row r="320" spans="1:19" x14ac:dyDescent="0.35">
      <c r="A320" s="5" t="s">
        <v>3588</v>
      </c>
      <c r="B320" s="5" t="s">
        <v>3589</v>
      </c>
      <c r="C320" s="5" t="s">
        <v>3590</v>
      </c>
      <c r="D320" s="5" t="s">
        <v>17</v>
      </c>
      <c r="E320" s="5" t="s">
        <v>156</v>
      </c>
      <c r="F320" s="5" t="s">
        <v>20</v>
      </c>
      <c r="G320" s="5" t="s">
        <v>20</v>
      </c>
      <c r="H320" s="5" t="s">
        <v>20</v>
      </c>
      <c r="I320" s="5" t="s">
        <v>157</v>
      </c>
      <c r="J320" s="5" t="s">
        <v>2457</v>
      </c>
      <c r="K320" s="5" t="s">
        <v>154</v>
      </c>
      <c r="L320" s="7">
        <v>46091</v>
      </c>
      <c r="M320" s="7">
        <v>46126</v>
      </c>
      <c r="N320" s="10" t="s">
        <v>683</v>
      </c>
      <c r="O320" s="5" t="s">
        <v>2486</v>
      </c>
      <c r="P320" s="5" t="s">
        <v>2487</v>
      </c>
      <c r="Q320" s="6"/>
      <c r="R320" s="6"/>
      <c r="S320" s="6" t="s">
        <v>2515</v>
      </c>
    </row>
    <row r="321" spans="1:19" x14ac:dyDescent="0.35">
      <c r="A321" s="5" t="s">
        <v>860</v>
      </c>
      <c r="B321" s="5" t="s">
        <v>861</v>
      </c>
      <c r="C321" s="5" t="s">
        <v>862</v>
      </c>
      <c r="D321" s="5" t="s">
        <v>28</v>
      </c>
      <c r="E321" s="5" t="s">
        <v>19</v>
      </c>
      <c r="F321" s="5" t="s">
        <v>29</v>
      </c>
      <c r="G321" s="5" t="s">
        <v>395</v>
      </c>
      <c r="H321" s="5" t="s">
        <v>395</v>
      </c>
      <c r="I321" s="5"/>
      <c r="J321" s="5" t="s">
        <v>506</v>
      </c>
      <c r="K321" s="5" t="s">
        <v>188</v>
      </c>
      <c r="L321" s="7">
        <v>45775</v>
      </c>
      <c r="M321" s="7">
        <v>46295</v>
      </c>
      <c r="N321" s="10" t="s">
        <v>2493</v>
      </c>
      <c r="O321" s="5" t="s">
        <v>2494</v>
      </c>
      <c r="P321" s="5" t="s">
        <v>2581</v>
      </c>
      <c r="Q321" s="6" t="s">
        <v>620</v>
      </c>
      <c r="R321" s="6" t="s">
        <v>18</v>
      </c>
      <c r="S321" s="6" t="s">
        <v>2582</v>
      </c>
    </row>
    <row r="322" spans="1:19" x14ac:dyDescent="0.35">
      <c r="A322" s="5" t="s">
        <v>609</v>
      </c>
      <c r="B322" s="5" t="s">
        <v>610</v>
      </c>
      <c r="C322" s="5" t="s">
        <v>611</v>
      </c>
      <c r="D322" s="5" t="s">
        <v>17</v>
      </c>
      <c r="E322" s="5" t="s">
        <v>19</v>
      </c>
      <c r="F322" s="5" t="s">
        <v>20</v>
      </c>
      <c r="G322" s="5" t="s">
        <v>20</v>
      </c>
      <c r="H322" s="5" t="s">
        <v>20</v>
      </c>
      <c r="I322" s="5" t="s">
        <v>149</v>
      </c>
      <c r="J322" s="5" t="s">
        <v>612</v>
      </c>
      <c r="K322" s="5" t="s">
        <v>151</v>
      </c>
      <c r="L322" s="7">
        <v>45393</v>
      </c>
      <c r="M322" s="7">
        <v>46307</v>
      </c>
      <c r="N322" s="10" t="s">
        <v>2777</v>
      </c>
      <c r="O322" s="5" t="s">
        <v>2486</v>
      </c>
      <c r="P322" s="5" t="s">
        <v>2514</v>
      </c>
      <c r="Q322" s="6"/>
      <c r="R322" s="6"/>
      <c r="S322" s="6" t="s">
        <v>2515</v>
      </c>
    </row>
    <row r="323" spans="1:19" x14ac:dyDescent="0.35">
      <c r="A323" s="5" t="s">
        <v>1148</v>
      </c>
      <c r="B323" s="5" t="s">
        <v>1149</v>
      </c>
      <c r="C323" s="5" t="s">
        <v>1150</v>
      </c>
      <c r="D323" s="5" t="s">
        <v>28</v>
      </c>
      <c r="E323" s="54" t="s">
        <v>19</v>
      </c>
      <c r="F323" s="5" t="s">
        <v>37</v>
      </c>
      <c r="G323" s="53" t="s">
        <v>2476</v>
      </c>
      <c r="H323" s="31" t="s">
        <v>101</v>
      </c>
      <c r="I323" s="5"/>
      <c r="J323" s="5" t="s">
        <v>1151</v>
      </c>
      <c r="K323" s="5" t="s">
        <v>35</v>
      </c>
      <c r="L323" s="7">
        <v>45964</v>
      </c>
      <c r="M323" s="7">
        <v>46295</v>
      </c>
      <c r="N323" s="10" t="s">
        <v>2493</v>
      </c>
      <c r="O323" s="5" t="s">
        <v>2486</v>
      </c>
      <c r="P323" s="5" t="s">
        <v>2514</v>
      </c>
      <c r="Q323" s="6"/>
      <c r="R323" s="6"/>
      <c r="S323" s="6" t="s">
        <v>2515</v>
      </c>
    </row>
    <row r="324" spans="1:19" x14ac:dyDescent="0.35">
      <c r="A324" s="5" t="s">
        <v>3676</v>
      </c>
      <c r="B324" s="5" t="s">
        <v>3680</v>
      </c>
      <c r="C324" s="5" t="s">
        <v>3684</v>
      </c>
      <c r="D324" s="5" t="s">
        <v>28</v>
      </c>
      <c r="E324" s="5" t="s">
        <v>19</v>
      </c>
      <c r="F324" s="5" t="s">
        <v>241</v>
      </c>
      <c r="G324" s="5" t="s">
        <v>242</v>
      </c>
      <c r="H324" s="5" t="s">
        <v>242</v>
      </c>
      <c r="I324" s="5" t="s">
        <v>702</v>
      </c>
      <c r="J324" s="5" t="s">
        <v>1592</v>
      </c>
      <c r="K324" s="5" t="s">
        <v>470</v>
      </c>
      <c r="L324" s="7">
        <v>46153</v>
      </c>
      <c r="M324" s="7">
        <v>46301</v>
      </c>
      <c r="N324" s="10" t="s">
        <v>2777</v>
      </c>
      <c r="O324" s="5" t="s">
        <v>2494</v>
      </c>
      <c r="P324" s="5" t="s">
        <v>2573</v>
      </c>
      <c r="Q324" s="6"/>
      <c r="R324" s="6"/>
      <c r="S324" s="52" t="s">
        <v>2488</v>
      </c>
    </row>
    <row r="325" spans="1:19" x14ac:dyDescent="0.35">
      <c r="A325" s="5" t="s">
        <v>3677</v>
      </c>
      <c r="B325" s="5" t="s">
        <v>3681</v>
      </c>
      <c r="C325" s="5" t="s">
        <v>3685</v>
      </c>
      <c r="D325" s="5" t="s">
        <v>28</v>
      </c>
      <c r="E325" s="5" t="s">
        <v>19</v>
      </c>
      <c r="F325" s="5" t="s">
        <v>241</v>
      </c>
      <c r="G325" s="5" t="s">
        <v>242</v>
      </c>
      <c r="H325" s="5" t="s">
        <v>242</v>
      </c>
      <c r="I325" s="5" t="s">
        <v>702</v>
      </c>
      <c r="J325" s="5" t="s">
        <v>1592</v>
      </c>
      <c r="K325" s="5" t="s">
        <v>470</v>
      </c>
      <c r="L325" s="7">
        <v>46181</v>
      </c>
      <c r="M325" s="7">
        <v>46295</v>
      </c>
      <c r="N325" s="10" t="s">
        <v>2493</v>
      </c>
      <c r="O325" s="5" t="s">
        <v>2494</v>
      </c>
      <c r="P325" s="5" t="s">
        <v>2996</v>
      </c>
      <c r="Q325" s="6"/>
      <c r="R325" s="6"/>
      <c r="S325" s="52" t="s">
        <v>2488</v>
      </c>
    </row>
    <row r="326" spans="1:19" x14ac:dyDescent="0.35">
      <c r="A326" s="5" t="s">
        <v>3678</v>
      </c>
      <c r="B326" s="5" t="s">
        <v>3682</v>
      </c>
      <c r="C326" s="5" t="s">
        <v>3686</v>
      </c>
      <c r="D326" s="5" t="s">
        <v>17</v>
      </c>
      <c r="E326" s="5" t="s">
        <v>19</v>
      </c>
      <c r="F326" s="5" t="s">
        <v>241</v>
      </c>
      <c r="G326" s="5" t="s">
        <v>242</v>
      </c>
      <c r="H326" s="5" t="s">
        <v>242</v>
      </c>
      <c r="I326" s="5" t="s">
        <v>282</v>
      </c>
      <c r="J326" s="5" t="s">
        <v>1560</v>
      </c>
      <c r="K326" s="5" t="s">
        <v>470</v>
      </c>
      <c r="L326" s="7">
        <v>46216</v>
      </c>
      <c r="M326" s="7">
        <v>46300</v>
      </c>
      <c r="N326" s="10" t="s">
        <v>2777</v>
      </c>
      <c r="O326" s="5" t="s">
        <v>2486</v>
      </c>
      <c r="P326" s="5" t="s">
        <v>2547</v>
      </c>
      <c r="Q326" s="6"/>
      <c r="R326" s="6"/>
      <c r="S326" s="52" t="s">
        <v>2488</v>
      </c>
    </row>
    <row r="327" spans="1:19" x14ac:dyDescent="0.35">
      <c r="A327" s="5" t="s">
        <v>1981</v>
      </c>
      <c r="B327" s="5" t="s">
        <v>1982</v>
      </c>
      <c r="C327" s="5" t="s">
        <v>1983</v>
      </c>
      <c r="D327" s="5" t="s">
        <v>17</v>
      </c>
      <c r="E327" s="5" t="s">
        <v>19</v>
      </c>
      <c r="F327" s="5" t="s">
        <v>241</v>
      </c>
      <c r="G327" s="5" t="s">
        <v>242</v>
      </c>
      <c r="H327" s="5" t="s">
        <v>242</v>
      </c>
      <c r="I327" s="5" t="s">
        <v>702</v>
      </c>
      <c r="J327" s="5" t="s">
        <v>1592</v>
      </c>
      <c r="K327" s="5" t="s">
        <v>470</v>
      </c>
      <c r="L327" s="7">
        <v>46233</v>
      </c>
      <c r="M327" s="7">
        <v>46274</v>
      </c>
      <c r="N327" s="10" t="s">
        <v>2493</v>
      </c>
      <c r="O327" s="5" t="s">
        <v>2494</v>
      </c>
      <c r="P327" s="5" t="s">
        <v>2573</v>
      </c>
      <c r="Q327" s="6"/>
      <c r="R327" s="6"/>
      <c r="S327" s="52" t="s">
        <v>2488</v>
      </c>
    </row>
    <row r="328" spans="1:19" x14ac:dyDescent="0.35">
      <c r="A328" s="5" t="s">
        <v>3679</v>
      </c>
      <c r="B328" s="5" t="s">
        <v>3683</v>
      </c>
      <c r="C328" s="5" t="s">
        <v>3687</v>
      </c>
      <c r="D328" s="5" t="s">
        <v>28</v>
      </c>
      <c r="E328" s="5" t="s">
        <v>19</v>
      </c>
      <c r="F328" s="5" t="s">
        <v>241</v>
      </c>
      <c r="G328" s="5" t="s">
        <v>242</v>
      </c>
      <c r="H328" s="5" t="s">
        <v>242</v>
      </c>
      <c r="I328" s="5" t="s">
        <v>702</v>
      </c>
      <c r="J328" s="5" t="s">
        <v>1592</v>
      </c>
      <c r="K328" s="5" t="s">
        <v>470</v>
      </c>
      <c r="L328" s="7">
        <v>46273</v>
      </c>
      <c r="M328" s="7">
        <v>46295</v>
      </c>
      <c r="N328" s="10" t="s">
        <v>2493</v>
      </c>
      <c r="O328" s="5" t="s">
        <v>2494</v>
      </c>
      <c r="P328" s="5" t="s">
        <v>2573</v>
      </c>
      <c r="Q328" s="6"/>
      <c r="R328" s="6"/>
      <c r="S328" s="52" t="s">
        <v>2488</v>
      </c>
    </row>
    <row r="329" spans="1:19" x14ac:dyDescent="0.35">
      <c r="A329" s="5" t="s">
        <v>820</v>
      </c>
      <c r="B329" s="5" t="s">
        <v>821</v>
      </c>
      <c r="C329" s="5" t="s">
        <v>822</v>
      </c>
      <c r="D329" s="5" t="s">
        <v>28</v>
      </c>
      <c r="E329" s="5" t="s">
        <v>156</v>
      </c>
      <c r="F329" s="5" t="s">
        <v>50</v>
      </c>
      <c r="G329" s="53" t="s">
        <v>2476</v>
      </c>
      <c r="H329" s="5" t="s">
        <v>3605</v>
      </c>
      <c r="I329" s="6"/>
      <c r="J329" s="5" t="s">
        <v>370</v>
      </c>
      <c r="K329" s="5" t="s">
        <v>3688</v>
      </c>
      <c r="L329" s="7">
        <v>45719</v>
      </c>
      <c r="M329" s="7">
        <v>46311</v>
      </c>
      <c r="N329" s="10" t="s">
        <v>2777</v>
      </c>
      <c r="O329" s="5" t="s">
        <v>2494</v>
      </c>
      <c r="P329" s="5" t="s">
        <v>2495</v>
      </c>
      <c r="Q329" s="6"/>
      <c r="R329" s="6"/>
      <c r="S329" s="6" t="s">
        <v>2473</v>
      </c>
    </row>
    <row r="330" spans="1:19" x14ac:dyDescent="0.35">
      <c r="A330" s="5" t="s">
        <v>334</v>
      </c>
      <c r="B330" s="5" t="s">
        <v>260</v>
      </c>
      <c r="C330" s="5" t="s">
        <v>335</v>
      </c>
      <c r="D330" s="5" t="s">
        <v>17</v>
      </c>
      <c r="E330" s="5" t="s">
        <v>156</v>
      </c>
      <c r="F330" s="5" t="s">
        <v>50</v>
      </c>
      <c r="G330" s="53" t="s">
        <v>2476</v>
      </c>
      <c r="H330" s="5" t="s">
        <v>3605</v>
      </c>
      <c r="I330" s="6"/>
      <c r="J330" s="6" t="s">
        <v>30</v>
      </c>
      <c r="K330" s="5" t="s">
        <v>107</v>
      </c>
      <c r="L330" s="7">
        <v>44599</v>
      </c>
      <c r="M330" s="7">
        <v>46311</v>
      </c>
      <c r="N330" s="10" t="s">
        <v>2777</v>
      </c>
      <c r="O330" s="5" t="s">
        <v>2486</v>
      </c>
      <c r="P330" s="5" t="s">
        <v>3577</v>
      </c>
      <c r="Q330" s="6"/>
      <c r="R330" s="6"/>
      <c r="S330" s="6" t="s">
        <v>2515</v>
      </c>
    </row>
    <row r="331" spans="1:19" x14ac:dyDescent="0.35">
      <c r="A331" s="5" t="s">
        <v>881</v>
      </c>
      <c r="B331" s="5" t="s">
        <v>882</v>
      </c>
      <c r="C331" s="5" t="s">
        <v>883</v>
      </c>
      <c r="D331" s="5" t="s">
        <v>28</v>
      </c>
      <c r="E331" s="5" t="s">
        <v>130</v>
      </c>
      <c r="F331" s="5" t="s">
        <v>241</v>
      </c>
      <c r="G331" s="5" t="s">
        <v>242</v>
      </c>
      <c r="H331" s="5" t="s">
        <v>242</v>
      </c>
      <c r="I331" s="5" t="s">
        <v>39</v>
      </c>
      <c r="J331" s="5" t="s">
        <v>884</v>
      </c>
      <c r="K331" s="5" t="s">
        <v>470</v>
      </c>
      <c r="L331" s="7">
        <v>45784</v>
      </c>
      <c r="M331" s="7">
        <v>46311</v>
      </c>
      <c r="N331" s="10" t="s">
        <v>2777</v>
      </c>
      <c r="O331" s="5" t="s">
        <v>2494</v>
      </c>
      <c r="P331" s="5" t="s">
        <v>2499</v>
      </c>
      <c r="Q331" s="6"/>
      <c r="R331" s="6"/>
      <c r="S331" s="52" t="s">
        <v>2488</v>
      </c>
    </row>
    <row r="332" spans="1:19" x14ac:dyDescent="0.35">
      <c r="A332" s="5" t="s">
        <v>2179</v>
      </c>
      <c r="B332" s="5" t="s">
        <v>2180</v>
      </c>
      <c r="C332" s="5" t="s">
        <v>2181</v>
      </c>
      <c r="D332" s="5" t="s">
        <v>17</v>
      </c>
      <c r="E332" s="5" t="s">
        <v>130</v>
      </c>
      <c r="F332" s="5" t="s">
        <v>241</v>
      </c>
      <c r="G332" s="5" t="s">
        <v>242</v>
      </c>
      <c r="H332" s="5" t="s">
        <v>242</v>
      </c>
      <c r="I332" s="5" t="s">
        <v>282</v>
      </c>
      <c r="J332" s="5" t="s">
        <v>1560</v>
      </c>
      <c r="K332" s="5" t="s">
        <v>470</v>
      </c>
      <c r="L332" s="7">
        <v>46258</v>
      </c>
      <c r="M332" s="7">
        <v>46295</v>
      </c>
      <c r="N332" s="51" t="s">
        <v>2493</v>
      </c>
      <c r="O332" s="5" t="s">
        <v>2494</v>
      </c>
      <c r="P332" s="5" t="s">
        <v>2573</v>
      </c>
      <c r="Q332" s="6"/>
      <c r="R332" s="6"/>
      <c r="S332" s="52" t="s">
        <v>2488</v>
      </c>
    </row>
    <row r="333" spans="1:19" x14ac:dyDescent="0.35">
      <c r="A333" s="5" t="s">
        <v>32</v>
      </c>
      <c r="B333" s="2" t="s">
        <v>31</v>
      </c>
      <c r="C333" s="2" t="s">
        <v>1767</v>
      </c>
      <c r="D333" s="5" t="s">
        <v>17</v>
      </c>
      <c r="E333" s="5" t="s">
        <v>19</v>
      </c>
      <c r="F333" s="5" t="s">
        <v>50</v>
      </c>
      <c r="G333" s="53" t="s">
        <v>2476</v>
      </c>
      <c r="H333" s="5" t="s">
        <v>3605</v>
      </c>
      <c r="I333" s="6"/>
      <c r="J333" s="2" t="s">
        <v>55</v>
      </c>
      <c r="K333" s="5" t="s">
        <v>3710</v>
      </c>
      <c r="L333" s="24">
        <v>46202</v>
      </c>
      <c r="M333" s="7">
        <v>46316</v>
      </c>
      <c r="N333" s="10" t="s">
        <v>2777</v>
      </c>
      <c r="O333" s="5" t="s">
        <v>2494</v>
      </c>
      <c r="P333" s="5" t="s">
        <v>2499</v>
      </c>
      <c r="Q333" s="6"/>
      <c r="R333" s="6"/>
      <c r="S333" s="6" t="s">
        <v>2473</v>
      </c>
    </row>
    <row r="334" spans="1:19" x14ac:dyDescent="0.35">
      <c r="A334" s="5" t="s">
        <v>536</v>
      </c>
      <c r="B334" s="5" t="s">
        <v>537</v>
      </c>
      <c r="C334" s="5" t="s">
        <v>538</v>
      </c>
      <c r="D334" s="5" t="s">
        <v>17</v>
      </c>
      <c r="E334" s="5" t="s">
        <v>19</v>
      </c>
      <c r="F334" s="5" t="s">
        <v>29</v>
      </c>
      <c r="G334" s="5" t="s">
        <v>395</v>
      </c>
      <c r="H334" s="5" t="s">
        <v>395</v>
      </c>
      <c r="I334" s="6"/>
      <c r="J334" s="5" t="s">
        <v>539</v>
      </c>
      <c r="K334" s="5" t="s">
        <v>188</v>
      </c>
      <c r="L334" s="24">
        <v>45197</v>
      </c>
      <c r="M334" s="7">
        <v>46316</v>
      </c>
      <c r="N334" s="10" t="s">
        <v>2777</v>
      </c>
      <c r="O334" s="5" t="s">
        <v>2486</v>
      </c>
      <c r="P334" s="5" t="s">
        <v>2514</v>
      </c>
      <c r="Q334" s="6"/>
      <c r="R334" s="6"/>
      <c r="S334" s="6" t="s">
        <v>2515</v>
      </c>
    </row>
    <row r="335" spans="1:19" x14ac:dyDescent="0.35">
      <c r="A335" s="5" t="s">
        <v>251</v>
      </c>
      <c r="B335" s="2" t="s">
        <v>250</v>
      </c>
      <c r="C335" s="2" t="s">
        <v>828</v>
      </c>
      <c r="D335" s="5" t="s">
        <v>17</v>
      </c>
      <c r="E335" s="5" t="s">
        <v>156</v>
      </c>
      <c r="F335" s="5" t="s">
        <v>50</v>
      </c>
      <c r="G335" s="53" t="s">
        <v>2476</v>
      </c>
      <c r="H335" s="5" t="s">
        <v>3605</v>
      </c>
      <c r="I335" s="6"/>
      <c r="J335" s="2" t="s">
        <v>67</v>
      </c>
      <c r="K335" s="5" t="s">
        <v>3728</v>
      </c>
      <c r="L335" s="24">
        <v>45722</v>
      </c>
      <c r="M335" s="7">
        <v>46307</v>
      </c>
      <c r="N335" s="10" t="s">
        <v>2777</v>
      </c>
      <c r="O335" s="5" t="s">
        <v>2486</v>
      </c>
      <c r="P335" s="5" t="s">
        <v>2514</v>
      </c>
      <c r="Q335" s="6"/>
      <c r="R335" s="6"/>
      <c r="S335" s="6" t="s">
        <v>2515</v>
      </c>
    </row>
    <row r="336" spans="1:19" x14ac:dyDescent="0.35">
      <c r="A336" s="5" t="s">
        <v>364</v>
      </c>
      <c r="B336" s="2" t="s">
        <v>365</v>
      </c>
      <c r="C336" s="2" t="s">
        <v>366</v>
      </c>
      <c r="D336" s="5" t="s">
        <v>17</v>
      </c>
      <c r="E336" s="5" t="s">
        <v>156</v>
      </c>
      <c r="F336" s="5" t="s">
        <v>50</v>
      </c>
      <c r="G336" s="53" t="s">
        <v>2476</v>
      </c>
      <c r="H336" s="5" t="s">
        <v>3605</v>
      </c>
      <c r="I336" s="6"/>
      <c r="J336" s="2" t="s">
        <v>91</v>
      </c>
      <c r="K336" s="5" t="s">
        <v>3688</v>
      </c>
      <c r="L336" s="24">
        <v>44669</v>
      </c>
      <c r="M336" s="7">
        <v>46307</v>
      </c>
      <c r="N336" s="10" t="s">
        <v>2777</v>
      </c>
      <c r="O336" s="5" t="s">
        <v>2486</v>
      </c>
      <c r="P336" s="5" t="s">
        <v>2514</v>
      </c>
      <c r="Q336" s="6"/>
      <c r="R336" s="6"/>
      <c r="S336" s="6" t="s">
        <v>2515</v>
      </c>
    </row>
    <row r="337" spans="1:19" x14ac:dyDescent="0.35">
      <c r="A337" s="5" t="s">
        <v>528</v>
      </c>
      <c r="B337" s="2" t="s">
        <v>527</v>
      </c>
      <c r="C337" s="2" t="s">
        <v>894</v>
      </c>
      <c r="D337" s="5" t="s">
        <v>28</v>
      </c>
      <c r="E337" s="5" t="s">
        <v>156</v>
      </c>
      <c r="F337" s="5" t="s">
        <v>50</v>
      </c>
      <c r="G337" s="53" t="s">
        <v>2476</v>
      </c>
      <c r="H337" s="5" t="s">
        <v>3605</v>
      </c>
      <c r="I337" s="6"/>
      <c r="J337" s="2" t="s">
        <v>60</v>
      </c>
      <c r="K337" s="5" t="s">
        <v>3728</v>
      </c>
      <c r="L337" s="24">
        <v>45796</v>
      </c>
      <c r="M337" s="7">
        <v>46307</v>
      </c>
      <c r="N337" s="10" t="s">
        <v>2777</v>
      </c>
      <c r="O337" s="5" t="s">
        <v>2486</v>
      </c>
      <c r="P337" s="5" t="s">
        <v>2514</v>
      </c>
      <c r="Q337" s="5"/>
      <c r="R337" s="5"/>
      <c r="S337" s="6" t="s">
        <v>2515</v>
      </c>
    </row>
    <row r="338" spans="1:19" x14ac:dyDescent="0.35">
      <c r="A338" s="5" t="s">
        <v>829</v>
      </c>
      <c r="B338" s="5" t="s">
        <v>830</v>
      </c>
      <c r="C338" s="5" t="s">
        <v>831</v>
      </c>
      <c r="D338" s="5" t="s">
        <v>17</v>
      </c>
      <c r="E338" s="5" t="s">
        <v>19</v>
      </c>
      <c r="F338" s="5" t="s">
        <v>241</v>
      </c>
      <c r="G338" s="5" t="s">
        <v>242</v>
      </c>
      <c r="H338" s="5" t="s">
        <v>242</v>
      </c>
      <c r="I338" s="5" t="s">
        <v>702</v>
      </c>
      <c r="J338" s="5" t="s">
        <v>729</v>
      </c>
      <c r="K338" s="5" t="s">
        <v>470</v>
      </c>
      <c r="L338" s="7">
        <v>45726</v>
      </c>
      <c r="M338" s="7">
        <v>46317</v>
      </c>
      <c r="N338" s="10" t="s">
        <v>2777</v>
      </c>
      <c r="O338" s="5" t="s">
        <v>2494</v>
      </c>
      <c r="P338" s="5" t="s">
        <v>2693</v>
      </c>
      <c r="Q338" s="5"/>
      <c r="R338" s="5"/>
      <c r="S338" s="6" t="s">
        <v>2515</v>
      </c>
    </row>
    <row r="339" spans="1:19" x14ac:dyDescent="0.35">
      <c r="A339" s="5" t="s">
        <v>873</v>
      </c>
      <c r="B339" s="5" t="s">
        <v>874</v>
      </c>
      <c r="C339" s="5" t="s">
        <v>875</v>
      </c>
      <c r="D339" s="5" t="s">
        <v>28</v>
      </c>
      <c r="E339" s="5" t="s">
        <v>19</v>
      </c>
      <c r="F339" s="5" t="s">
        <v>241</v>
      </c>
      <c r="G339" s="5" t="s">
        <v>242</v>
      </c>
      <c r="H339" s="5" t="s">
        <v>242</v>
      </c>
      <c r="I339" s="5" t="s">
        <v>39</v>
      </c>
      <c r="J339" s="5" t="s">
        <v>876</v>
      </c>
      <c r="K339" s="5" t="s">
        <v>470</v>
      </c>
      <c r="L339" s="7">
        <v>45772</v>
      </c>
      <c r="M339" s="7">
        <v>46303</v>
      </c>
      <c r="N339" s="10" t="s">
        <v>2777</v>
      </c>
      <c r="O339" s="5" t="s">
        <v>2494</v>
      </c>
      <c r="P339" s="5" t="s">
        <v>2581</v>
      </c>
      <c r="Q339" s="5"/>
      <c r="R339" s="5"/>
      <c r="S339" s="6" t="s">
        <v>2515</v>
      </c>
    </row>
    <row r="340" spans="1:19" x14ac:dyDescent="0.35">
      <c r="A340" s="5" t="s">
        <v>946</v>
      </c>
      <c r="B340" s="5" t="s">
        <v>947</v>
      </c>
      <c r="C340" s="5" t="s">
        <v>948</v>
      </c>
      <c r="D340" s="5" t="s">
        <v>28</v>
      </c>
      <c r="E340" s="5" t="s">
        <v>19</v>
      </c>
      <c r="F340" s="5" t="s">
        <v>241</v>
      </c>
      <c r="G340" s="5" t="s">
        <v>242</v>
      </c>
      <c r="H340" s="5" t="s">
        <v>242</v>
      </c>
      <c r="I340" s="5" t="s">
        <v>659</v>
      </c>
      <c r="J340" s="5" t="s">
        <v>949</v>
      </c>
      <c r="K340" s="5" t="s">
        <v>470</v>
      </c>
      <c r="L340" s="7">
        <v>45819</v>
      </c>
      <c r="M340" s="7">
        <v>46303</v>
      </c>
      <c r="N340" s="10" t="s">
        <v>2777</v>
      </c>
      <c r="O340" s="5" t="s">
        <v>2494</v>
      </c>
      <c r="P340" s="5" t="s">
        <v>2693</v>
      </c>
      <c r="Q340" s="5"/>
      <c r="R340" s="5"/>
      <c r="S340" s="6" t="s">
        <v>2515</v>
      </c>
    </row>
    <row r="341" spans="1:19" x14ac:dyDescent="0.35">
      <c r="A341" s="5" t="s">
        <v>1282</v>
      </c>
      <c r="B341" s="5" t="s">
        <v>1283</v>
      </c>
      <c r="C341" s="5" t="s">
        <v>1284</v>
      </c>
      <c r="D341" s="5" t="s">
        <v>17</v>
      </c>
      <c r="E341" s="5" t="s">
        <v>19</v>
      </c>
      <c r="F341" s="5" t="s">
        <v>241</v>
      </c>
      <c r="G341" s="5" t="s">
        <v>242</v>
      </c>
      <c r="H341" s="5" t="s">
        <v>242</v>
      </c>
      <c r="I341" s="5" t="s">
        <v>138</v>
      </c>
      <c r="J341" s="5" t="s">
        <v>187</v>
      </c>
      <c r="K341" s="5" t="s">
        <v>470</v>
      </c>
      <c r="L341" s="7">
        <v>46027</v>
      </c>
      <c r="M341" s="7">
        <v>46316</v>
      </c>
      <c r="N341" s="10" t="s">
        <v>2777</v>
      </c>
      <c r="O341" s="5" t="s">
        <v>2494</v>
      </c>
      <c r="P341" s="5" t="s">
        <v>2573</v>
      </c>
      <c r="Q341" s="5"/>
      <c r="R341" s="5"/>
      <c r="S341" s="52" t="s">
        <v>2488</v>
      </c>
    </row>
    <row r="342" spans="1:19" x14ac:dyDescent="0.35">
      <c r="A342" s="5" t="s">
        <v>1493</v>
      </c>
      <c r="B342" s="5" t="s">
        <v>1494</v>
      </c>
      <c r="C342" s="5" t="s">
        <v>1495</v>
      </c>
      <c r="D342" s="5" t="s">
        <v>17</v>
      </c>
      <c r="E342" s="5" t="s">
        <v>19</v>
      </c>
      <c r="F342" s="5" t="s">
        <v>241</v>
      </c>
      <c r="G342" s="5" t="s">
        <v>242</v>
      </c>
      <c r="H342" s="5" t="s">
        <v>242</v>
      </c>
      <c r="I342" s="5" t="s">
        <v>138</v>
      </c>
      <c r="J342" s="5" t="s">
        <v>1496</v>
      </c>
      <c r="K342" s="5" t="s">
        <v>470</v>
      </c>
      <c r="L342" s="7">
        <v>46132</v>
      </c>
      <c r="M342" s="7">
        <v>46318</v>
      </c>
      <c r="N342" s="10" t="s">
        <v>2777</v>
      </c>
      <c r="O342" s="5" t="s">
        <v>2486</v>
      </c>
      <c r="P342" s="5" t="s">
        <v>2978</v>
      </c>
      <c r="Q342" s="5"/>
      <c r="R342" s="5"/>
      <c r="S342" s="6" t="s">
        <v>2515</v>
      </c>
    </row>
    <row r="343" spans="1:19" x14ac:dyDescent="0.35">
      <c r="A343" s="5" t="s">
        <v>1678</v>
      </c>
      <c r="B343" s="5" t="s">
        <v>1679</v>
      </c>
      <c r="C343" s="5" t="s">
        <v>1680</v>
      </c>
      <c r="D343" s="5" t="s">
        <v>28</v>
      </c>
      <c r="E343" s="5" t="s">
        <v>19</v>
      </c>
      <c r="F343" s="5" t="s">
        <v>241</v>
      </c>
      <c r="G343" s="5" t="s">
        <v>242</v>
      </c>
      <c r="H343" s="5" t="s">
        <v>242</v>
      </c>
      <c r="I343" s="5" t="s">
        <v>282</v>
      </c>
      <c r="J343" s="5" t="s">
        <v>1681</v>
      </c>
      <c r="K343" s="5" t="s">
        <v>470</v>
      </c>
      <c r="L343" s="7">
        <v>46167</v>
      </c>
      <c r="M343" s="7">
        <v>46316</v>
      </c>
      <c r="N343" s="10" t="s">
        <v>2777</v>
      </c>
      <c r="O343" s="5" t="s">
        <v>2486</v>
      </c>
      <c r="P343" s="5" t="s">
        <v>2978</v>
      </c>
      <c r="Q343" s="5"/>
      <c r="R343" s="5"/>
      <c r="S343" s="6" t="s">
        <v>2515</v>
      </c>
    </row>
    <row r="344" spans="1:19" x14ac:dyDescent="0.35">
      <c r="A344" s="5" t="s">
        <v>2021</v>
      </c>
      <c r="B344" s="5" t="s">
        <v>2022</v>
      </c>
      <c r="C344" s="5" t="s">
        <v>2023</v>
      </c>
      <c r="D344" s="5" t="s">
        <v>28</v>
      </c>
      <c r="E344" s="5" t="s">
        <v>19</v>
      </c>
      <c r="F344" s="5" t="s">
        <v>241</v>
      </c>
      <c r="G344" s="5" t="s">
        <v>242</v>
      </c>
      <c r="H344" s="5" t="s">
        <v>242</v>
      </c>
      <c r="I344" s="5" t="s">
        <v>282</v>
      </c>
      <c r="J344" s="5" t="s">
        <v>2024</v>
      </c>
      <c r="K344" s="5" t="s">
        <v>470</v>
      </c>
      <c r="L344" s="7">
        <v>46238</v>
      </c>
      <c r="M344" s="7">
        <v>46318</v>
      </c>
      <c r="N344" s="10" t="s">
        <v>2777</v>
      </c>
      <c r="O344" s="5" t="s">
        <v>2494</v>
      </c>
      <c r="P344" s="5" t="s">
        <v>2499</v>
      </c>
      <c r="Q344" s="5"/>
      <c r="R344" s="5"/>
      <c r="S344" s="52" t="s">
        <v>2488</v>
      </c>
    </row>
    <row r="345" spans="1:19" x14ac:dyDescent="0.35">
      <c r="A345" s="5" t="s">
        <v>2458</v>
      </c>
      <c r="B345" s="5" t="s">
        <v>2459</v>
      </c>
      <c r="C345" s="5" t="s">
        <v>2460</v>
      </c>
      <c r="D345" s="63" t="s">
        <v>17</v>
      </c>
      <c r="E345" s="63" t="s">
        <v>19</v>
      </c>
      <c r="F345" s="5" t="s">
        <v>29</v>
      </c>
      <c r="G345" s="5" t="s">
        <v>395</v>
      </c>
      <c r="H345" s="5" t="s">
        <v>395</v>
      </c>
      <c r="I345" s="5"/>
      <c r="J345" s="5" t="s">
        <v>2461</v>
      </c>
      <c r="K345" s="63" t="s">
        <v>188</v>
      </c>
      <c r="L345" s="7">
        <v>46267</v>
      </c>
      <c r="M345" s="7">
        <v>46318</v>
      </c>
      <c r="N345" s="10" t="s">
        <v>2777</v>
      </c>
      <c r="O345" s="5" t="s">
        <v>2494</v>
      </c>
      <c r="P345" s="5" t="s">
        <v>3737</v>
      </c>
      <c r="Q345" s="5"/>
      <c r="R345" s="5"/>
      <c r="S345" s="6" t="s">
        <v>2515</v>
      </c>
    </row>
  </sheetData>
  <conditionalFormatting sqref="A1:A1048576">
    <cfRule type="duplicateValues" dxfId="1" priority="3"/>
    <cfRule type="duplicateValues" dxfId="0" priority="4"/>
  </conditionalFormatting>
  <hyperlinks>
    <hyperlink ref="C329" r:id="rId1" xr:uid="{53FB9BE7-E01C-4D4D-9ED8-2006DFCCF84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338D8-19E0-4904-AE5E-0CA0EA6FDBB4}">
  <dimension ref="A1:P10"/>
  <sheetViews>
    <sheetView workbookViewId="0">
      <selection activeCell="D14" sqref="D14"/>
    </sheetView>
  </sheetViews>
  <sheetFormatPr defaultRowHeight="14.5" x14ac:dyDescent="0.35"/>
  <cols>
    <col min="1" max="1" width="20.26953125" style="41" bestFit="1" customWidth="1"/>
    <col min="2" max="2" width="28.7265625" style="41" bestFit="1" customWidth="1"/>
    <col min="3" max="3" width="15.453125" style="41" bestFit="1" customWidth="1"/>
    <col min="4" max="4" width="14.90625" style="41" bestFit="1" customWidth="1"/>
    <col min="5" max="5" width="16" style="41" bestFit="1" customWidth="1"/>
    <col min="6" max="6" width="9" style="41" bestFit="1" customWidth="1"/>
    <col min="7" max="8" width="11.1796875" style="41" bestFit="1" customWidth="1"/>
    <col min="9" max="9" width="13.453125" style="41" bestFit="1" customWidth="1"/>
    <col min="10" max="10" width="9.7265625" style="41" bestFit="1" customWidth="1"/>
    <col min="11" max="11" width="14.81640625" style="41" bestFit="1" customWidth="1"/>
    <col min="12" max="12" width="10" style="41" customWidth="1"/>
    <col min="13" max="13" width="191.7265625" style="41" bestFit="1" customWidth="1"/>
    <col min="14" max="14" width="15.90625" style="41" bestFit="1" customWidth="1"/>
    <col min="15" max="15" width="11.81640625" style="41" bestFit="1" customWidth="1"/>
    <col min="16" max="16" width="15.6328125" style="41" customWidth="1"/>
    <col min="17" max="16384" width="8.7265625" style="41"/>
  </cols>
  <sheetData>
    <row r="1" spans="1:16" x14ac:dyDescent="0.35">
      <c r="A1" s="40" t="s">
        <v>3591</v>
      </c>
      <c r="B1" s="40" t="s">
        <v>3592</v>
      </c>
      <c r="C1" s="40" t="s">
        <v>3593</v>
      </c>
      <c r="D1" s="40" t="s">
        <v>3594</v>
      </c>
      <c r="E1" s="40" t="s">
        <v>3595</v>
      </c>
      <c r="F1" s="40" t="s">
        <v>3596</v>
      </c>
      <c r="G1" s="40" t="s">
        <v>3597</v>
      </c>
      <c r="H1" s="40" t="s">
        <v>3598</v>
      </c>
      <c r="I1" s="40" t="s">
        <v>3599</v>
      </c>
      <c r="J1" s="40" t="s">
        <v>3600</v>
      </c>
      <c r="K1" s="40" t="s">
        <v>3601</v>
      </c>
      <c r="L1" s="40" t="s">
        <v>2529</v>
      </c>
      <c r="M1" s="40" t="s">
        <v>3602</v>
      </c>
      <c r="N1" s="40" t="s">
        <v>3603</v>
      </c>
      <c r="O1" s="40" t="s">
        <v>826</v>
      </c>
      <c r="P1" s="40" t="s">
        <v>3604</v>
      </c>
    </row>
    <row r="2" spans="1:16" x14ac:dyDescent="0.35">
      <c r="A2" s="42" t="s">
        <v>3605</v>
      </c>
      <c r="B2" s="43">
        <f>C2+E2</f>
        <v>60</v>
      </c>
      <c r="C2" s="44">
        <v>53</v>
      </c>
      <c r="D2" s="44">
        <v>0</v>
      </c>
      <c r="E2" s="44">
        <v>7</v>
      </c>
      <c r="F2" s="44">
        <v>1</v>
      </c>
      <c r="G2" s="44">
        <f>E2-F2</f>
        <v>6</v>
      </c>
      <c r="H2" s="44">
        <v>0</v>
      </c>
      <c r="I2" s="44">
        <v>0</v>
      </c>
      <c r="J2" s="44">
        <v>1</v>
      </c>
      <c r="K2" s="44"/>
      <c r="L2" s="44">
        <v>3</v>
      </c>
      <c r="M2" s="44" t="s">
        <v>3732</v>
      </c>
      <c r="N2" s="44" t="s">
        <v>3733</v>
      </c>
      <c r="O2" s="45"/>
      <c r="P2" s="45" t="s">
        <v>368</v>
      </c>
    </row>
    <row r="3" spans="1:16" x14ac:dyDescent="0.35">
      <c r="A3" s="42" t="s">
        <v>3606</v>
      </c>
      <c r="B3" s="43">
        <f t="shared" ref="B3:B7" si="0">C3+E3</f>
        <v>34</v>
      </c>
      <c r="C3" s="44">
        <v>32</v>
      </c>
      <c r="D3" s="44">
        <v>0</v>
      </c>
      <c r="E3" s="44">
        <v>2</v>
      </c>
      <c r="F3" s="44">
        <v>0</v>
      </c>
      <c r="G3" s="44">
        <f t="shared" ref="G3:G5" si="1">E3-F3</f>
        <v>2</v>
      </c>
      <c r="H3" s="44">
        <v>0</v>
      </c>
      <c r="I3" s="44">
        <v>1</v>
      </c>
      <c r="J3" s="44">
        <v>1</v>
      </c>
      <c r="K3" s="44"/>
      <c r="L3" s="44"/>
      <c r="M3" s="44" t="s">
        <v>3735</v>
      </c>
      <c r="N3" s="44"/>
      <c r="O3" s="44" t="s">
        <v>3607</v>
      </c>
      <c r="P3" s="44" t="s">
        <v>833</v>
      </c>
    </row>
    <row r="4" spans="1:16" x14ac:dyDescent="0.35">
      <c r="A4" s="42" t="s">
        <v>101</v>
      </c>
      <c r="B4" s="43">
        <f t="shared" si="0"/>
        <v>19</v>
      </c>
      <c r="C4" s="46">
        <v>18</v>
      </c>
      <c r="D4" s="46">
        <v>0</v>
      </c>
      <c r="E4" s="46">
        <v>1</v>
      </c>
      <c r="F4" s="46">
        <v>0</v>
      </c>
      <c r="G4" s="44">
        <f t="shared" si="1"/>
        <v>1</v>
      </c>
      <c r="H4" s="44">
        <v>0</v>
      </c>
      <c r="I4" s="46">
        <v>0</v>
      </c>
      <c r="J4" s="44">
        <v>0</v>
      </c>
      <c r="K4" s="47"/>
      <c r="L4" s="47"/>
      <c r="M4" s="44" t="s">
        <v>3734</v>
      </c>
      <c r="N4" s="45"/>
      <c r="O4" s="45"/>
      <c r="P4" s="45"/>
    </row>
    <row r="5" spans="1:16" ht="21" x14ac:dyDescent="0.35">
      <c r="A5" s="42" t="s">
        <v>20</v>
      </c>
      <c r="B5" s="43">
        <f t="shared" si="0"/>
        <v>84</v>
      </c>
      <c r="C5" s="46">
        <v>74</v>
      </c>
      <c r="D5" s="46">
        <v>0</v>
      </c>
      <c r="E5" s="46">
        <v>10</v>
      </c>
      <c r="F5" s="46">
        <v>1</v>
      </c>
      <c r="G5" s="44">
        <f t="shared" si="1"/>
        <v>9</v>
      </c>
      <c r="H5" s="44">
        <v>0</v>
      </c>
      <c r="I5" s="46">
        <v>1</v>
      </c>
      <c r="J5" s="44">
        <v>0</v>
      </c>
      <c r="K5" s="44"/>
      <c r="L5" s="44">
        <v>1</v>
      </c>
      <c r="M5" s="44" t="s">
        <v>3736</v>
      </c>
      <c r="N5" s="44" t="s">
        <v>3636</v>
      </c>
      <c r="O5" s="45" t="s">
        <v>3608</v>
      </c>
      <c r="P5" s="45"/>
    </row>
    <row r="6" spans="1:16" x14ac:dyDescent="0.35">
      <c r="A6" s="48" t="s">
        <v>395</v>
      </c>
      <c r="B6" s="49">
        <v>153</v>
      </c>
      <c r="C6" s="49">
        <v>148</v>
      </c>
      <c r="D6" s="49">
        <f t="shared" ref="D6:J6" si="2">D7+D8+D9</f>
        <v>0</v>
      </c>
      <c r="E6" s="49">
        <v>13</v>
      </c>
      <c r="F6" s="49">
        <v>1</v>
      </c>
      <c r="G6" s="49">
        <f>E6-F6</f>
        <v>12</v>
      </c>
      <c r="H6" s="49">
        <f t="shared" si="2"/>
        <v>0</v>
      </c>
      <c r="I6" s="49">
        <f t="shared" si="2"/>
        <v>0</v>
      </c>
      <c r="J6" s="49">
        <f t="shared" si="2"/>
        <v>0</v>
      </c>
      <c r="K6" s="44"/>
      <c r="L6" s="44"/>
      <c r="M6" s="44"/>
      <c r="N6" s="45"/>
      <c r="O6" s="45"/>
      <c r="P6" s="45"/>
    </row>
    <row r="7" spans="1:16" x14ac:dyDescent="0.35">
      <c r="A7" s="50" t="s">
        <v>3609</v>
      </c>
      <c r="B7" s="43">
        <f t="shared" si="0"/>
        <v>14</v>
      </c>
      <c r="C7" s="44">
        <v>14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/>
      <c r="L7" s="44"/>
      <c r="M7" s="44"/>
      <c r="N7" s="44"/>
      <c r="O7" s="45"/>
      <c r="P7" s="45"/>
    </row>
    <row r="8" spans="1:16" x14ac:dyDescent="0.35">
      <c r="A8" s="50" t="s">
        <v>3620</v>
      </c>
      <c r="B8" s="43">
        <v>78</v>
      </c>
      <c r="C8" s="44">
        <v>78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/>
      <c r="L8" s="44"/>
      <c r="M8" s="44"/>
      <c r="N8" s="44"/>
      <c r="O8" s="45"/>
      <c r="P8" s="45"/>
    </row>
    <row r="9" spans="1:16" x14ac:dyDescent="0.35">
      <c r="A9" s="50" t="s">
        <v>3611</v>
      </c>
      <c r="B9" s="43">
        <v>42</v>
      </c>
      <c r="C9" s="44">
        <v>37</v>
      </c>
      <c r="D9" s="44">
        <v>0</v>
      </c>
      <c r="E9" s="44">
        <v>13</v>
      </c>
      <c r="F9" s="44">
        <v>1</v>
      </c>
      <c r="G9" s="44">
        <v>12</v>
      </c>
      <c r="H9" s="44">
        <v>0</v>
      </c>
      <c r="I9" s="44">
        <v>0</v>
      </c>
      <c r="J9" s="44">
        <v>0</v>
      </c>
      <c r="K9" s="44"/>
      <c r="L9" s="44"/>
      <c r="M9" s="44" t="s">
        <v>3637</v>
      </c>
      <c r="N9" s="44"/>
      <c r="O9" s="45"/>
      <c r="P9" s="45"/>
    </row>
    <row r="10" spans="1:16" ht="16" x14ac:dyDescent="0.35">
      <c r="A10" s="40" t="s">
        <v>3612</v>
      </c>
      <c r="B10" s="40">
        <f t="shared" ref="B10:J10" si="3">SUM(B2:B6)</f>
        <v>350</v>
      </c>
      <c r="C10" s="40">
        <f t="shared" si="3"/>
        <v>325</v>
      </c>
      <c r="D10" s="40">
        <f t="shared" si="3"/>
        <v>0</v>
      </c>
      <c r="E10" s="40">
        <f t="shared" si="3"/>
        <v>33</v>
      </c>
      <c r="F10" s="40">
        <f t="shared" si="3"/>
        <v>3</v>
      </c>
      <c r="G10" s="40">
        <f t="shared" si="3"/>
        <v>30</v>
      </c>
      <c r="H10" s="40">
        <f t="shared" si="3"/>
        <v>0</v>
      </c>
      <c r="I10" s="40">
        <f t="shared" si="3"/>
        <v>2</v>
      </c>
      <c r="J10" s="40">
        <f t="shared" si="3"/>
        <v>2</v>
      </c>
      <c r="K10" s="62"/>
      <c r="L10" s="62"/>
      <c r="M10" s="62"/>
      <c r="N10" s="62"/>
      <c r="O10" s="62"/>
      <c r="P10" s="45"/>
    </row>
  </sheetData>
  <mergeCells count="1">
    <mergeCell ref="K10:O1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8B309-EBAC-469C-8A99-F45E46EC5D0F}">
  <dimension ref="A1:W11"/>
  <sheetViews>
    <sheetView workbookViewId="0">
      <selection activeCell="A6" sqref="A6"/>
    </sheetView>
  </sheetViews>
  <sheetFormatPr defaultRowHeight="14.5" x14ac:dyDescent="0.35"/>
  <cols>
    <col min="1" max="1" width="20.26953125" bestFit="1" customWidth="1"/>
    <col min="2" max="2" width="3.26953125" bestFit="1" customWidth="1"/>
    <col min="3" max="3" width="2.6328125" bestFit="1" customWidth="1"/>
    <col min="4" max="4" width="3.26953125" bestFit="1" customWidth="1"/>
    <col min="5" max="5" width="2.6328125" bestFit="1" customWidth="1"/>
    <col min="6" max="6" width="5.1796875" bestFit="1" customWidth="1"/>
    <col min="7" max="7" width="10.81640625" bestFit="1" customWidth="1"/>
    <col min="8" max="8" width="3.6328125" bestFit="1" customWidth="1"/>
    <col min="9" max="9" width="5.453125" bestFit="1" customWidth="1"/>
    <col min="10" max="10" width="4.90625" bestFit="1" customWidth="1"/>
    <col min="11" max="11" width="4.26953125" bestFit="1" customWidth="1"/>
    <col min="12" max="12" width="4.26953125" customWidth="1"/>
    <col min="13" max="13" width="19.36328125" bestFit="1" customWidth="1"/>
    <col min="14" max="14" width="6" bestFit="1" customWidth="1"/>
    <col min="15" max="15" width="4.90625" bestFit="1" customWidth="1"/>
    <col min="16" max="16" width="4.26953125" bestFit="1" customWidth="1"/>
    <col min="17" max="20" width="2.6328125" bestFit="1" customWidth="1"/>
    <col min="21" max="21" width="5.1796875" bestFit="1" customWidth="1"/>
    <col min="22" max="22" width="10.81640625" bestFit="1" customWidth="1"/>
    <col min="23" max="23" width="3.36328125" bestFit="1" customWidth="1"/>
  </cols>
  <sheetData>
    <row r="1" spans="1:23" x14ac:dyDescent="0.35">
      <c r="A1" s="11" t="s">
        <v>3591</v>
      </c>
      <c r="B1" s="11" t="s">
        <v>2485</v>
      </c>
      <c r="C1" s="11" t="s">
        <v>683</v>
      </c>
      <c r="D1" s="11" t="s">
        <v>2493</v>
      </c>
      <c r="E1" s="11" t="s">
        <v>2777</v>
      </c>
      <c r="F1" s="11" t="s">
        <v>3613</v>
      </c>
      <c r="G1" s="11" t="s">
        <v>3614</v>
      </c>
      <c r="H1" s="11" t="s">
        <v>3615</v>
      </c>
      <c r="I1" s="14" t="s">
        <v>3616</v>
      </c>
      <c r="J1" s="14" t="s">
        <v>3617</v>
      </c>
      <c r="K1" s="14" t="s">
        <v>3618</v>
      </c>
      <c r="L1" s="14"/>
      <c r="M1" s="11" t="s">
        <v>3591</v>
      </c>
      <c r="N1" s="14" t="s">
        <v>3619</v>
      </c>
      <c r="O1" s="14" t="s">
        <v>3617</v>
      </c>
      <c r="P1" s="14" t="s">
        <v>3618</v>
      </c>
      <c r="Q1" s="11" t="s">
        <v>2485</v>
      </c>
      <c r="R1" s="11" t="s">
        <v>683</v>
      </c>
      <c r="S1" s="11" t="s">
        <v>2493</v>
      </c>
      <c r="T1" s="11" t="s">
        <v>2777</v>
      </c>
      <c r="U1" s="11" t="s">
        <v>3613</v>
      </c>
      <c r="V1" s="11" t="s">
        <v>3614</v>
      </c>
      <c r="W1" s="11" t="s">
        <v>3615</v>
      </c>
    </row>
    <row r="2" spans="1:23" x14ac:dyDescent="0.35">
      <c r="A2" s="13" t="s">
        <v>3605</v>
      </c>
      <c r="B2" s="15">
        <v>14</v>
      </c>
      <c r="C2" s="15">
        <v>11</v>
      </c>
      <c r="D2" s="15">
        <v>9</v>
      </c>
      <c r="E2" s="15">
        <v>3</v>
      </c>
      <c r="F2" s="15">
        <f>SUM(B2:E2)</f>
        <v>37</v>
      </c>
      <c r="G2" s="16">
        <f>F2/K2</f>
        <v>0.56060606060606055</v>
      </c>
      <c r="H2" s="17">
        <f t="shared" ref="H2:H11" si="0">(F2/K2)*12/10</f>
        <v>0.67272727272727262</v>
      </c>
      <c r="I2" s="12">
        <v>79</v>
      </c>
      <c r="J2" s="12">
        <f>Positions!C2</f>
        <v>53</v>
      </c>
      <c r="K2" s="12">
        <f>AVERAGE(I2:J2)</f>
        <v>66</v>
      </c>
      <c r="L2" s="12"/>
      <c r="M2" s="13" t="s">
        <v>2476</v>
      </c>
      <c r="N2" s="22">
        <f>I2+I3+I4</f>
        <v>136</v>
      </c>
      <c r="O2" s="22">
        <f>J2+J3+J4</f>
        <v>103</v>
      </c>
      <c r="P2" s="22">
        <f>AVERAGE(N2:O2)</f>
        <v>119.5</v>
      </c>
      <c r="Q2" s="22">
        <f>B2+B3+B4</f>
        <v>22</v>
      </c>
      <c r="R2" s="22">
        <f t="shared" ref="R2:T2" si="1">C2+C3+C4</f>
        <v>18</v>
      </c>
      <c r="S2" s="22">
        <f t="shared" si="1"/>
        <v>15</v>
      </c>
      <c r="T2" s="22">
        <f t="shared" si="1"/>
        <v>3</v>
      </c>
      <c r="U2" s="22">
        <f>SUM(Q2:T2)</f>
        <v>58</v>
      </c>
      <c r="V2" s="23">
        <f>U2/P2</f>
        <v>0.48535564853556484</v>
      </c>
      <c r="W2" s="17">
        <f>(U2/P2)*12/10</f>
        <v>0.58242677824267786</v>
      </c>
    </row>
    <row r="3" spans="1:23" x14ac:dyDescent="0.35">
      <c r="A3" s="13" t="s">
        <v>3606</v>
      </c>
      <c r="B3" s="15">
        <v>7</v>
      </c>
      <c r="C3" s="15">
        <v>5</v>
      </c>
      <c r="D3" s="15">
        <v>3</v>
      </c>
      <c r="E3" s="15">
        <v>0</v>
      </c>
      <c r="F3" s="15">
        <f t="shared" ref="F3:F10" si="2">SUM(B3:E3)</f>
        <v>15</v>
      </c>
      <c r="G3" s="16">
        <f t="shared" ref="G3:G8" si="3">F3/K3</f>
        <v>0.44117647058823528</v>
      </c>
      <c r="H3" s="17">
        <f t="shared" si="0"/>
        <v>0.52941176470588236</v>
      </c>
      <c r="I3" s="12">
        <v>36</v>
      </c>
      <c r="J3" s="12">
        <f>Positions!C3</f>
        <v>32</v>
      </c>
      <c r="K3" s="12">
        <f t="shared" ref="K3:K11" si="4">AVERAGE(I3:J3)</f>
        <v>34</v>
      </c>
      <c r="L3" s="12"/>
      <c r="M3" s="18" t="s">
        <v>395</v>
      </c>
      <c r="N3" s="22">
        <v>139</v>
      </c>
      <c r="O3" s="22">
        <f>J7</f>
        <v>148</v>
      </c>
      <c r="P3" s="22">
        <f t="shared" ref="P3:P8" si="5">AVERAGE(N3:O3)</f>
        <v>143.5</v>
      </c>
      <c r="Q3" s="22">
        <f>B8+B9+B10</f>
        <v>8</v>
      </c>
      <c r="R3" s="22">
        <f t="shared" ref="R3:T3" si="6">C8+C9+C10</f>
        <v>7</v>
      </c>
      <c r="S3" s="22">
        <f t="shared" si="6"/>
        <v>11</v>
      </c>
      <c r="T3" s="22">
        <f t="shared" si="6"/>
        <v>2</v>
      </c>
      <c r="U3" s="22">
        <f t="shared" ref="U3:U8" si="7">SUM(Q3:T3)</f>
        <v>28</v>
      </c>
      <c r="V3" s="23">
        <f t="shared" ref="V3:V9" si="8">U3/P3</f>
        <v>0.1951219512195122</v>
      </c>
      <c r="W3" s="17">
        <f t="shared" ref="W3:W9" si="9">(U3/P3)*12/10</f>
        <v>0.23414634146341468</v>
      </c>
    </row>
    <row r="4" spans="1:23" x14ac:dyDescent="0.35">
      <c r="A4" s="13" t="s">
        <v>101</v>
      </c>
      <c r="B4" s="15">
        <v>1</v>
      </c>
      <c r="C4" s="15">
        <v>2</v>
      </c>
      <c r="D4" s="15">
        <v>3</v>
      </c>
      <c r="E4" s="15">
        <v>0</v>
      </c>
      <c r="F4" s="15">
        <f t="shared" si="2"/>
        <v>6</v>
      </c>
      <c r="G4" s="16">
        <f t="shared" si="3"/>
        <v>0.30769230769230771</v>
      </c>
      <c r="H4" s="17">
        <f t="shared" si="0"/>
        <v>0.36923076923076925</v>
      </c>
      <c r="I4" s="12">
        <v>21</v>
      </c>
      <c r="J4" s="12">
        <f>Positions!C4</f>
        <v>18</v>
      </c>
      <c r="K4" s="12">
        <f t="shared" si="4"/>
        <v>19.5</v>
      </c>
      <c r="L4" s="12"/>
      <c r="M4" s="13" t="s">
        <v>3609</v>
      </c>
      <c r="N4" s="12">
        <v>12</v>
      </c>
      <c r="O4" s="12">
        <f>J8</f>
        <v>14</v>
      </c>
      <c r="P4" s="22">
        <f t="shared" si="5"/>
        <v>13</v>
      </c>
      <c r="Q4" s="22">
        <f>B8</f>
        <v>0</v>
      </c>
      <c r="R4" s="22">
        <f t="shared" ref="R4:T4" si="10">C8</f>
        <v>0</v>
      </c>
      <c r="S4" s="22">
        <f t="shared" si="10"/>
        <v>1</v>
      </c>
      <c r="T4" s="22">
        <f t="shared" si="10"/>
        <v>1</v>
      </c>
      <c r="U4" s="22">
        <f t="shared" si="7"/>
        <v>2</v>
      </c>
      <c r="V4" s="23">
        <f t="shared" si="8"/>
        <v>0.15384615384615385</v>
      </c>
      <c r="W4" s="17">
        <f t="shared" si="9"/>
        <v>0.18461538461538463</v>
      </c>
    </row>
    <row r="5" spans="1:23" x14ac:dyDescent="0.35">
      <c r="A5" s="13" t="s">
        <v>20</v>
      </c>
      <c r="B5" s="15">
        <v>4</v>
      </c>
      <c r="C5" s="15">
        <v>9</v>
      </c>
      <c r="D5" s="15">
        <v>5</v>
      </c>
      <c r="E5" s="15">
        <v>0</v>
      </c>
      <c r="F5" s="15">
        <f t="shared" si="2"/>
        <v>18</v>
      </c>
      <c r="G5" s="16">
        <f t="shared" si="3"/>
        <v>0.23529411764705882</v>
      </c>
      <c r="H5" s="17">
        <f t="shared" si="0"/>
        <v>0.28235294117647058</v>
      </c>
      <c r="I5" s="12">
        <v>79</v>
      </c>
      <c r="J5" s="12">
        <f>Positions!C5</f>
        <v>74</v>
      </c>
      <c r="K5" s="12">
        <f t="shared" si="4"/>
        <v>76.5</v>
      </c>
      <c r="L5" s="12"/>
      <c r="M5" s="13" t="s">
        <v>3610</v>
      </c>
      <c r="N5" s="22">
        <v>93</v>
      </c>
      <c r="O5" s="12">
        <f>J9</f>
        <v>78</v>
      </c>
      <c r="P5" s="22">
        <f t="shared" si="5"/>
        <v>85.5</v>
      </c>
      <c r="Q5" s="22">
        <f>B9</f>
        <v>5</v>
      </c>
      <c r="R5" s="22">
        <f t="shared" ref="R5:T5" si="11">C9</f>
        <v>4</v>
      </c>
      <c r="S5" s="22">
        <f t="shared" si="11"/>
        <v>2</v>
      </c>
      <c r="T5" s="22">
        <f t="shared" si="11"/>
        <v>1</v>
      </c>
      <c r="U5" s="22">
        <f t="shared" si="7"/>
        <v>12</v>
      </c>
      <c r="V5" s="23">
        <f t="shared" si="8"/>
        <v>0.14035087719298245</v>
      </c>
      <c r="W5" s="17">
        <f t="shared" si="9"/>
        <v>0.16842105263157894</v>
      </c>
    </row>
    <row r="6" spans="1:23" x14ac:dyDescent="0.35">
      <c r="A6" s="13" t="s">
        <v>2488</v>
      </c>
      <c r="B6" s="15">
        <v>66</v>
      </c>
      <c r="C6" s="15">
        <v>37</v>
      </c>
      <c r="D6" s="15">
        <v>62</v>
      </c>
      <c r="E6" s="15">
        <v>6</v>
      </c>
      <c r="F6" s="15">
        <f t="shared" si="2"/>
        <v>171</v>
      </c>
      <c r="G6" s="16">
        <f t="shared" si="3"/>
        <v>0.53605015673981193</v>
      </c>
      <c r="H6" s="17">
        <f t="shared" si="0"/>
        <v>0.6432601880877743</v>
      </c>
      <c r="I6" s="12">
        <v>259</v>
      </c>
      <c r="J6" s="12">
        <v>379</v>
      </c>
      <c r="K6" s="12">
        <f t="shared" si="4"/>
        <v>319</v>
      </c>
      <c r="L6" s="12"/>
      <c r="M6" s="13" t="s">
        <v>3611</v>
      </c>
      <c r="N6" s="22">
        <v>34</v>
      </c>
      <c r="O6" s="12">
        <f>J10</f>
        <v>37</v>
      </c>
      <c r="P6" s="22">
        <f t="shared" si="5"/>
        <v>35.5</v>
      </c>
      <c r="Q6" s="15">
        <f>B10</f>
        <v>3</v>
      </c>
      <c r="R6" s="15">
        <f t="shared" ref="R6:T6" si="12">C10</f>
        <v>3</v>
      </c>
      <c r="S6" s="15">
        <f t="shared" si="12"/>
        <v>8</v>
      </c>
      <c r="T6" s="15">
        <f t="shared" si="12"/>
        <v>0</v>
      </c>
      <c r="U6" s="22">
        <f t="shared" si="7"/>
        <v>14</v>
      </c>
      <c r="V6" s="23">
        <f t="shared" si="8"/>
        <v>0.39436619718309857</v>
      </c>
      <c r="W6" s="17">
        <f t="shared" si="9"/>
        <v>0.47323943661971829</v>
      </c>
    </row>
    <row r="7" spans="1:23" x14ac:dyDescent="0.35">
      <c r="A7" s="18" t="s">
        <v>395</v>
      </c>
      <c r="B7" s="19">
        <f>SUM(B8:B10)</f>
        <v>8</v>
      </c>
      <c r="C7" s="19">
        <f t="shared" ref="C7:E7" si="13">SUM(C8:C10)</f>
        <v>7</v>
      </c>
      <c r="D7" s="19">
        <f t="shared" si="13"/>
        <v>11</v>
      </c>
      <c r="E7" s="19">
        <f t="shared" si="13"/>
        <v>2</v>
      </c>
      <c r="F7" s="15">
        <f>SUM(B7:E7)</f>
        <v>28</v>
      </c>
      <c r="G7" s="16">
        <f t="shared" si="3"/>
        <v>0.1951219512195122</v>
      </c>
      <c r="H7" s="17">
        <f t="shared" si="0"/>
        <v>0.23414634146341468</v>
      </c>
      <c r="I7" s="12">
        <v>139</v>
      </c>
      <c r="J7" s="12">
        <f>Positions!C6</f>
        <v>148</v>
      </c>
      <c r="K7" s="12">
        <f t="shared" si="4"/>
        <v>143.5</v>
      </c>
      <c r="L7" s="12"/>
      <c r="M7" s="13" t="s">
        <v>20</v>
      </c>
      <c r="N7" s="12">
        <v>79</v>
      </c>
      <c r="O7" s="12">
        <f>J5</f>
        <v>74</v>
      </c>
      <c r="P7" s="22">
        <f t="shared" si="5"/>
        <v>76.5</v>
      </c>
      <c r="Q7" s="15">
        <f>B5</f>
        <v>4</v>
      </c>
      <c r="R7" s="15">
        <f t="shared" ref="R7:T7" si="14">C5</f>
        <v>9</v>
      </c>
      <c r="S7" s="15">
        <f t="shared" si="14"/>
        <v>5</v>
      </c>
      <c r="T7" s="15">
        <f t="shared" si="14"/>
        <v>0</v>
      </c>
      <c r="U7" s="22">
        <f t="shared" si="7"/>
        <v>18</v>
      </c>
      <c r="V7" s="23">
        <f t="shared" si="8"/>
        <v>0.23529411764705882</v>
      </c>
      <c r="W7" s="17">
        <f t="shared" si="9"/>
        <v>0.28235294117647058</v>
      </c>
    </row>
    <row r="8" spans="1:23" x14ac:dyDescent="0.35">
      <c r="A8" s="13" t="s">
        <v>3609</v>
      </c>
      <c r="B8" s="15">
        <v>0</v>
      </c>
      <c r="C8" s="15">
        <v>0</v>
      </c>
      <c r="D8" s="15">
        <v>1</v>
      </c>
      <c r="E8" s="15">
        <v>1</v>
      </c>
      <c r="F8" s="15">
        <f t="shared" si="2"/>
        <v>2</v>
      </c>
      <c r="G8" s="16">
        <f t="shared" si="3"/>
        <v>0.15384615384615385</v>
      </c>
      <c r="H8" s="17">
        <f t="shared" si="0"/>
        <v>0.18461538461538463</v>
      </c>
      <c r="I8" s="12">
        <v>12</v>
      </c>
      <c r="J8" s="12">
        <f>Positions!C7</f>
        <v>14</v>
      </c>
      <c r="K8" s="12">
        <f t="shared" si="4"/>
        <v>13</v>
      </c>
      <c r="L8" s="12"/>
      <c r="M8" s="13" t="s">
        <v>2488</v>
      </c>
      <c r="N8" s="12">
        <v>259</v>
      </c>
      <c r="O8" s="12">
        <f>J6</f>
        <v>379</v>
      </c>
      <c r="P8" s="22">
        <f t="shared" si="5"/>
        <v>319</v>
      </c>
      <c r="Q8" s="15">
        <f>B6</f>
        <v>66</v>
      </c>
      <c r="R8" s="15">
        <f t="shared" ref="R8:T8" si="15">C6</f>
        <v>37</v>
      </c>
      <c r="S8" s="15">
        <f t="shared" si="15"/>
        <v>62</v>
      </c>
      <c r="T8" s="15">
        <f t="shared" si="15"/>
        <v>6</v>
      </c>
      <c r="U8" s="22">
        <f t="shared" si="7"/>
        <v>171</v>
      </c>
      <c r="V8" s="23">
        <f t="shared" si="8"/>
        <v>0.53605015673981193</v>
      </c>
      <c r="W8" s="17">
        <f t="shared" si="9"/>
        <v>0.6432601880877743</v>
      </c>
    </row>
    <row r="9" spans="1:23" x14ac:dyDescent="0.35">
      <c r="A9" s="13" t="s">
        <v>3620</v>
      </c>
      <c r="B9" s="15">
        <v>5</v>
      </c>
      <c r="C9" s="15">
        <v>4</v>
      </c>
      <c r="D9" s="15">
        <v>2</v>
      </c>
      <c r="E9" s="15">
        <v>1</v>
      </c>
      <c r="F9" s="15">
        <f t="shared" si="2"/>
        <v>12</v>
      </c>
      <c r="G9" s="16">
        <f>F9/K9</f>
        <v>0.14035087719298245</v>
      </c>
      <c r="H9" s="17">
        <f t="shared" si="0"/>
        <v>0.16842105263157894</v>
      </c>
      <c r="I9" s="12">
        <v>93</v>
      </c>
      <c r="J9" s="12">
        <f>Positions!C8</f>
        <v>78</v>
      </c>
      <c r="K9" s="12">
        <f t="shared" si="4"/>
        <v>85.5</v>
      </c>
      <c r="L9" s="21"/>
      <c r="N9">
        <f>N8+N7+N3+N2</f>
        <v>613</v>
      </c>
      <c r="O9">
        <f>O8+O7+O3+O2</f>
        <v>704</v>
      </c>
      <c r="P9" s="27">
        <f>AVERAGE(N9:O9)</f>
        <v>658.5</v>
      </c>
      <c r="U9" s="27">
        <f>U8+U7+U3+U2</f>
        <v>275</v>
      </c>
      <c r="V9" s="28">
        <f t="shared" si="8"/>
        <v>0.4176157934700076</v>
      </c>
      <c r="W9" s="29">
        <f t="shared" si="9"/>
        <v>0.50113895216400917</v>
      </c>
    </row>
    <row r="10" spans="1:23" x14ac:dyDescent="0.35">
      <c r="A10" s="13" t="s">
        <v>3611</v>
      </c>
      <c r="B10" s="15">
        <v>3</v>
      </c>
      <c r="C10" s="15">
        <v>3</v>
      </c>
      <c r="D10" s="15">
        <v>8</v>
      </c>
      <c r="E10" s="15">
        <v>0</v>
      </c>
      <c r="F10" s="15">
        <f t="shared" si="2"/>
        <v>14</v>
      </c>
      <c r="G10" s="16">
        <f>F10/K10</f>
        <v>0.39436619718309857</v>
      </c>
      <c r="H10" s="17">
        <f t="shared" si="0"/>
        <v>0.47323943661971829</v>
      </c>
      <c r="I10" s="12">
        <v>34</v>
      </c>
      <c r="J10" s="12">
        <f>Positions!C9</f>
        <v>37</v>
      </c>
      <c r="K10" s="12">
        <f t="shared" si="4"/>
        <v>35.5</v>
      </c>
      <c r="L10" s="21"/>
    </row>
    <row r="11" spans="1:23" x14ac:dyDescent="0.35">
      <c r="A11" s="11" t="s">
        <v>3612</v>
      </c>
      <c r="B11" s="11">
        <f>SUM(B2:B7)</f>
        <v>100</v>
      </c>
      <c r="C11" s="11">
        <f>SUM(C2:C7)</f>
        <v>71</v>
      </c>
      <c r="D11" s="11">
        <f>SUM(D2:D7)</f>
        <v>93</v>
      </c>
      <c r="E11" s="11">
        <f>SUM(E2:E7)</f>
        <v>11</v>
      </c>
      <c r="F11" s="11">
        <f>SUM(F2:F7)</f>
        <v>275</v>
      </c>
      <c r="G11" s="20">
        <f>F11/K11</f>
        <v>0.4176157934700076</v>
      </c>
      <c r="H11" s="20">
        <f t="shared" si="0"/>
        <v>0.50113895216400917</v>
      </c>
      <c r="I11" s="12">
        <f>I2+I3+I4+I5+I6+I7</f>
        <v>613</v>
      </c>
      <c r="J11" s="12">
        <f>J2+J3+J4+J5+J6+J7</f>
        <v>704</v>
      </c>
      <c r="K11" s="12">
        <f t="shared" si="4"/>
        <v>658.5</v>
      </c>
      <c r="L11" s="21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B4BAE-36D6-4719-8F42-9F36C16721C9}">
  <dimension ref="A1:C14"/>
  <sheetViews>
    <sheetView tabSelected="1" workbookViewId="0">
      <selection activeCell="C18" sqref="C18"/>
    </sheetView>
  </sheetViews>
  <sheetFormatPr defaultRowHeight="14.5" x14ac:dyDescent="0.35"/>
  <cols>
    <col min="1" max="1" width="11.7265625" bestFit="1" customWidth="1"/>
    <col min="2" max="2" width="28.90625" bestFit="1" customWidth="1"/>
    <col min="3" max="3" width="93.54296875" bestFit="1" customWidth="1"/>
  </cols>
  <sheetData>
    <row r="1" spans="1:3" x14ac:dyDescent="0.35">
      <c r="A1" s="37" t="s">
        <v>2480</v>
      </c>
      <c r="B1" s="37" t="s">
        <v>3638</v>
      </c>
      <c r="C1" s="37" t="s">
        <v>3639</v>
      </c>
    </row>
    <row r="2" spans="1:3" x14ac:dyDescent="0.35">
      <c r="A2" s="38"/>
      <c r="B2" s="38"/>
      <c r="C2" s="38"/>
    </row>
    <row r="3" spans="1:3" x14ac:dyDescent="0.35">
      <c r="A3" s="38"/>
      <c r="B3" s="38"/>
      <c r="C3" s="38"/>
    </row>
    <row r="4" spans="1:3" x14ac:dyDescent="0.35">
      <c r="A4" s="38"/>
      <c r="B4" s="38"/>
      <c r="C4" s="38"/>
    </row>
    <row r="5" spans="1:3" x14ac:dyDescent="0.35">
      <c r="A5" s="38"/>
      <c r="B5" s="38"/>
      <c r="C5" s="38"/>
    </row>
    <row r="6" spans="1:3" x14ac:dyDescent="0.35">
      <c r="A6" s="38"/>
      <c r="B6" s="38"/>
      <c r="C6" s="38"/>
    </row>
    <row r="7" spans="1:3" x14ac:dyDescent="0.35">
      <c r="A7" s="38"/>
      <c r="B7" s="38"/>
      <c r="C7" s="38"/>
    </row>
    <row r="8" spans="1:3" x14ac:dyDescent="0.35">
      <c r="A8" s="38"/>
      <c r="B8" s="38"/>
      <c r="C8" s="38"/>
    </row>
    <row r="9" spans="1:3" x14ac:dyDescent="0.35">
      <c r="A9" s="38"/>
      <c r="B9" s="38"/>
      <c r="C9" s="38"/>
    </row>
    <row r="10" spans="1:3" x14ac:dyDescent="0.35">
      <c r="A10" s="38"/>
      <c r="B10" s="38"/>
      <c r="C10" s="38"/>
    </row>
    <row r="11" spans="1:3" x14ac:dyDescent="0.35">
      <c r="A11" s="38"/>
      <c r="B11" s="38"/>
      <c r="C11" s="38"/>
    </row>
    <row r="12" spans="1:3" x14ac:dyDescent="0.35">
      <c r="A12" s="38"/>
      <c r="B12" s="38"/>
      <c r="C12" s="38"/>
    </row>
    <row r="13" spans="1:3" ht="16.5" thickBot="1" x14ac:dyDescent="0.4">
      <c r="A13" s="36"/>
      <c r="B13" s="35"/>
      <c r="C13" s="35"/>
    </row>
    <row r="14" spans="1:3" ht="16.5" thickBot="1" x14ac:dyDescent="0.4">
      <c r="A14" s="30"/>
      <c r="B14" s="35"/>
      <c r="C14" s="35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8d9e562-50eb-49de-b8ce-a7198a175d32}" enabled="0" method="" siteId="{88d9e562-50eb-49de-b8ce-a7198a175d3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Active</vt:lpstr>
      <vt:lpstr>Exit</vt:lpstr>
      <vt:lpstr>Positions</vt:lpstr>
      <vt:lpstr>Attrition</vt:lpstr>
      <vt:lpstr>Exit Interview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Abood Imtiaz</cp:lastModifiedBy>
  <dcterms:created xsi:type="dcterms:W3CDTF">2026-10-13T10:11:57Z</dcterms:created>
  <dcterms:modified xsi:type="dcterms:W3CDTF">2026-10-26T07:32:32Z</dcterms:modified>
</cp:coreProperties>
</file>